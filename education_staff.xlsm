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ain_res\projects\paper_project\003 roster_education\"/>
    </mc:Choice>
  </mc:AlternateContent>
  <bookViews>
    <workbookView xWindow="0" yWindow="0" windowWidth="22260" windowHeight="12650" activeTab="1"/>
  </bookViews>
  <sheets>
    <sheet name="Nurser Rostering" sheetId="2" r:id="rId1"/>
    <sheet name="Rotation Assignment" sheetId="3" r:id="rId2"/>
  </sheets>
  <definedNames>
    <definedName name="myNameRange">#REF!:INDEX(#REF!,COUNTA(#REF!))</definedName>
    <definedName name="OpenSolver_ChosenSolver" localSheetId="0" hidden="1">CBC</definedName>
    <definedName name="OpenSolver_ChosenSolver" localSheetId="1" hidden="1">CBC</definedName>
    <definedName name="OpenSolver_DualsNewSheet" localSheetId="0" hidden="1">0</definedName>
    <definedName name="OpenSolver_DualsNewSheet" localSheetId="1" hidden="1">0</definedName>
    <definedName name="OpenSolver_LinearityCheck" localSheetId="0" hidden="1">1</definedName>
    <definedName name="OpenSolver_LinearityCheck" localSheetId="1" hidden="1">1</definedName>
    <definedName name="OpenSolver_UpdateSensitivity" localSheetId="0" hidden="1">1</definedName>
    <definedName name="OpenSolver_UpdateSensitivity" localSheetId="1" hidden="1">1</definedName>
    <definedName name="solver_adj" localSheetId="0" hidden="1">'Nurser Rostering'!$E$6:$R$9,'Nurser Rostering'!$E$11:$R$14,'Nurser Rostering'!$E$16:$R$19,'Nurser Rostering'!$E$21:$R$24,'Nurser Rostering'!$E$26:$R$29,'Nurser Rostering'!$U$6,'Nurser Rostering'!$U$8,'Nurser Rostering'!$U$11,'Nurser Rostering'!$U$13,'Nurser Rostering'!$U$16,'Nurser Rostering'!$U$18,'Nurser Rostering'!$U$21,'Nurser Rostering'!$U$23,'Nurser Rostering'!$U$26,'Nurser Rostering'!$U$28</definedName>
    <definedName name="solver_adj" localSheetId="1" hidden="1">'Rotation Assignment'!$F$6:$O$7,'Rotation Assignment'!$F$9:$O$10,'Rotation Assignment'!$F$12:$O$13,'Rotation Assignment'!$F$17:$O$17,'Rotation Assignment'!$F$19:$O$19,'Rotation Assignment'!$F$21:$O$21,'Rotation Assignment'!$F$23:$O$23,'Rotation Assignment'!$F$25:$O$25,'Rotation Assignment'!$F$27:$O$27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'Nurser Rostering'!$V$6</definedName>
    <definedName name="solver_lhs1" localSheetId="1" hidden="1">'Rotation Assignment'!$F$33</definedName>
    <definedName name="solver_lhs10" localSheetId="0" hidden="1">'Nurser Rostering'!$V$28</definedName>
    <definedName name="solver_lhs10" localSheetId="1" hidden="1">'Rotation Assignment'!$O$33</definedName>
    <definedName name="solver_lhs100" localSheetId="0" hidden="1">'Nurser Rostering'!$J$25</definedName>
    <definedName name="solver_lhs101" localSheetId="0" hidden="1">'Nurser Rostering'!$K$25</definedName>
    <definedName name="solver_lhs102" localSheetId="0" hidden="1">'Nurser Rostering'!$L$25</definedName>
    <definedName name="solver_lhs103" localSheetId="0" hidden="1">'Nurser Rostering'!$M$25</definedName>
    <definedName name="solver_lhs104" localSheetId="0" hidden="1">'Nurser Rostering'!$N$25</definedName>
    <definedName name="solver_lhs105" localSheetId="0" hidden="1">'Nurser Rostering'!$O$25</definedName>
    <definedName name="solver_lhs106" localSheetId="0" hidden="1">'Nurser Rostering'!$P$25</definedName>
    <definedName name="solver_lhs107" localSheetId="0" hidden="1">'Nurser Rostering'!$Q$25</definedName>
    <definedName name="solver_lhs108" localSheetId="0" hidden="1">'Nurser Rostering'!$R$25</definedName>
    <definedName name="solver_lhs109" localSheetId="0" hidden="1">'Nurser Rostering'!$E$8</definedName>
    <definedName name="solver_lhs11" localSheetId="0" hidden="1">'Nurser Rostering'!$E$32</definedName>
    <definedName name="solver_lhs11" localSheetId="1" hidden="1">'Rotation Assignment'!$F$35</definedName>
    <definedName name="solver_lhs110" localSheetId="0" hidden="1">'Nurser Rostering'!$F$8</definedName>
    <definedName name="solver_lhs111" localSheetId="0" hidden="1">'Nurser Rostering'!$G$8</definedName>
    <definedName name="solver_lhs112" localSheetId="0" hidden="1">'Nurser Rostering'!$H$8</definedName>
    <definedName name="solver_lhs113" localSheetId="0" hidden="1">'Nurser Rostering'!$I$8</definedName>
    <definedName name="solver_lhs114" localSheetId="0" hidden="1">'Nurser Rostering'!$K$8</definedName>
    <definedName name="solver_lhs115" localSheetId="0" hidden="1">'Nurser Rostering'!$L$8</definedName>
    <definedName name="solver_lhs116" localSheetId="0" hidden="1">'Nurser Rostering'!$M$8</definedName>
    <definedName name="solver_lhs117" localSheetId="0" hidden="1">'Nurser Rostering'!$N$8</definedName>
    <definedName name="solver_lhs118" localSheetId="0" hidden="1">'Nurser Rostering'!$O$8</definedName>
    <definedName name="solver_lhs119" localSheetId="0" hidden="1">'Nurser Rostering'!$P$8</definedName>
    <definedName name="solver_lhs12" localSheetId="0" hidden="1">'Nurser Rostering'!$F$32</definedName>
    <definedName name="solver_lhs12" localSheetId="1" hidden="1">'Rotation Assignment'!$G$35</definedName>
    <definedName name="solver_lhs120" localSheetId="0" hidden="1">'Nurser Rostering'!$Q$8</definedName>
    <definedName name="solver_lhs121" localSheetId="0" hidden="1">'Nurser Rostering'!$J$8</definedName>
    <definedName name="solver_lhs122" localSheetId="0" hidden="1">'Nurser Rostering'!$E$13</definedName>
    <definedName name="solver_lhs123" localSheetId="0" hidden="1">'Nurser Rostering'!$F$13</definedName>
    <definedName name="solver_lhs124" localSheetId="0" hidden="1">'Nurser Rostering'!$G$13</definedName>
    <definedName name="solver_lhs125" localSheetId="0" hidden="1">'Nurser Rostering'!$H$13</definedName>
    <definedName name="solver_lhs126" localSheetId="0" hidden="1">'Nurser Rostering'!$I$13</definedName>
    <definedName name="solver_lhs127" localSheetId="0" hidden="1">'Nurser Rostering'!$J$13</definedName>
    <definedName name="solver_lhs128" localSheetId="0" hidden="1">'Nurser Rostering'!$K$13</definedName>
    <definedName name="solver_lhs129" localSheetId="0" hidden="1">'Nurser Rostering'!$L$13</definedName>
    <definedName name="solver_lhs13" localSheetId="0" hidden="1">'Nurser Rostering'!$G$32</definedName>
    <definedName name="solver_lhs13" localSheetId="1" hidden="1">'Rotation Assignment'!$H$35</definedName>
    <definedName name="solver_lhs130" localSheetId="0" hidden="1">'Nurser Rostering'!$M$13</definedName>
    <definedName name="solver_lhs131" localSheetId="0" hidden="1">'Nurser Rostering'!$N$13</definedName>
    <definedName name="solver_lhs132" localSheetId="0" hidden="1">'Nurser Rostering'!$O$13</definedName>
    <definedName name="solver_lhs133" localSheetId="0" hidden="1">'Nurser Rostering'!$P$13</definedName>
    <definedName name="solver_lhs134" localSheetId="0" hidden="1">'Nurser Rostering'!$Q$13</definedName>
    <definedName name="solver_lhs135" localSheetId="0" hidden="1">'Nurser Rostering'!$E$18</definedName>
    <definedName name="solver_lhs136" localSheetId="0" hidden="1">'Nurser Rostering'!$F$18</definedName>
    <definedName name="solver_lhs137" localSheetId="0" hidden="1">'Nurser Rostering'!$G$18</definedName>
    <definedName name="solver_lhs138" localSheetId="0" hidden="1">'Nurser Rostering'!$H$18</definedName>
    <definedName name="solver_lhs139" localSheetId="0" hidden="1">'Nurser Rostering'!$I$18</definedName>
    <definedName name="solver_lhs14" localSheetId="0" hidden="1">'Nurser Rostering'!$H$32</definedName>
    <definedName name="solver_lhs14" localSheetId="1" hidden="1">'Rotation Assignment'!$I$35</definedName>
    <definedName name="solver_lhs140" localSheetId="0" hidden="1">'Nurser Rostering'!$J$18</definedName>
    <definedName name="solver_lhs141" localSheetId="0" hidden="1">'Nurser Rostering'!$K$18</definedName>
    <definedName name="solver_lhs142" localSheetId="0" hidden="1">'Nurser Rostering'!$L$18</definedName>
    <definedName name="solver_lhs143" localSheetId="0" hidden="1">'Nurser Rostering'!$M$18</definedName>
    <definedName name="solver_lhs144" localSheetId="0" hidden="1">'Nurser Rostering'!$N$18</definedName>
    <definedName name="solver_lhs145" localSheetId="0" hidden="1">'Nurser Rostering'!$O$18</definedName>
    <definedName name="solver_lhs146" localSheetId="0" hidden="1">'Nurser Rostering'!$P$18</definedName>
    <definedName name="solver_lhs147" localSheetId="0" hidden="1">'Nurser Rostering'!$Q$18</definedName>
    <definedName name="solver_lhs148" localSheetId="0" hidden="1">'Nurser Rostering'!$E$23</definedName>
    <definedName name="solver_lhs149" localSheetId="0" hidden="1">'Nurser Rostering'!$F$23</definedName>
    <definedName name="solver_lhs15" localSheetId="0" hidden="1">'Nurser Rostering'!$I$32</definedName>
    <definedName name="solver_lhs15" localSheetId="1" hidden="1">'Rotation Assignment'!$J$35</definedName>
    <definedName name="solver_lhs150" localSheetId="0" hidden="1">'Nurser Rostering'!$G$23</definedName>
    <definedName name="solver_lhs151" localSheetId="0" hidden="1">'Nurser Rostering'!$H$23</definedName>
    <definedName name="solver_lhs152" localSheetId="0" hidden="1">'Nurser Rostering'!$I$23</definedName>
    <definedName name="solver_lhs153" localSheetId="0" hidden="1">'Nurser Rostering'!$J$23</definedName>
    <definedName name="solver_lhs154" localSheetId="0" hidden="1">'Nurser Rostering'!$K$23</definedName>
    <definedName name="solver_lhs155" localSheetId="0" hidden="1">'Nurser Rostering'!$L$23</definedName>
    <definedName name="solver_lhs156" localSheetId="0" hidden="1">'Nurser Rostering'!$M$23</definedName>
    <definedName name="solver_lhs157" localSheetId="0" hidden="1">'Nurser Rostering'!$N$23</definedName>
    <definedName name="solver_lhs158" localSheetId="0" hidden="1">'Nurser Rostering'!$O$23</definedName>
    <definedName name="solver_lhs159" localSheetId="0" hidden="1">'Nurser Rostering'!$P$23</definedName>
    <definedName name="solver_lhs16" localSheetId="0" hidden="1">'Nurser Rostering'!$J$32</definedName>
    <definedName name="solver_lhs16" localSheetId="1" hidden="1">'Rotation Assignment'!$K$35</definedName>
    <definedName name="solver_lhs160" localSheetId="0" hidden="1">'Nurser Rostering'!$Q$23</definedName>
    <definedName name="solver_lhs161" localSheetId="0" hidden="1">'Nurser Rostering'!$E$28</definedName>
    <definedName name="solver_lhs162" localSheetId="0" hidden="1">'Nurser Rostering'!$F$28</definedName>
    <definedName name="solver_lhs163" localSheetId="0" hidden="1">'Nurser Rostering'!$G$28</definedName>
    <definedName name="solver_lhs164" localSheetId="0" hidden="1">'Nurser Rostering'!$H$28</definedName>
    <definedName name="solver_lhs165" localSheetId="0" hidden="1">'Nurser Rostering'!$I$28</definedName>
    <definedName name="solver_lhs166" localSheetId="0" hidden="1">'Nurser Rostering'!$J$28</definedName>
    <definedName name="solver_lhs167" localSheetId="0" hidden="1">'Nurser Rostering'!$K$28</definedName>
    <definedName name="solver_lhs168" localSheetId="0" hidden="1">'Nurser Rostering'!$L$28</definedName>
    <definedName name="solver_lhs169" localSheetId="0" hidden="1">'Nurser Rostering'!$M$28</definedName>
    <definedName name="solver_lhs17" localSheetId="0" hidden="1">'Nurser Rostering'!$K$32</definedName>
    <definedName name="solver_lhs17" localSheetId="1" hidden="1">'Rotation Assignment'!$L$35</definedName>
    <definedName name="solver_lhs170" localSheetId="0" hidden="1">'Nurser Rostering'!$N$28</definedName>
    <definedName name="solver_lhs171" localSheetId="0" hidden="1">'Nurser Rostering'!$O$28</definedName>
    <definedName name="solver_lhs172" localSheetId="0" hidden="1">'Nurser Rostering'!$P$28</definedName>
    <definedName name="solver_lhs173" localSheetId="0" hidden="1">'Nurser Rostering'!$Q$28</definedName>
    <definedName name="solver_lhs174" localSheetId="0" hidden="1">'Nurser Rostering'!$E$6:$R$9</definedName>
    <definedName name="solver_lhs175" localSheetId="0" hidden="1">'Nurser Rostering'!$E$11:$R$14</definedName>
    <definedName name="solver_lhs176" localSheetId="0" hidden="1">'Nurser Rostering'!$E$16:$R$19</definedName>
    <definedName name="solver_lhs177" localSheetId="0" hidden="1">'Nurser Rostering'!$E$21:$R$24</definedName>
    <definedName name="solver_lhs178" localSheetId="0" hidden="1">'Nurser Rostering'!$E$26:$R$29</definedName>
    <definedName name="solver_lhs179" localSheetId="0" hidden="1">'Nurser Rostering'!$E$30</definedName>
    <definedName name="solver_lhs18" localSheetId="0" hidden="1">'Nurser Rostering'!$L$32</definedName>
    <definedName name="solver_lhs18" localSheetId="1" hidden="1">'Rotation Assignment'!$M$35</definedName>
    <definedName name="solver_lhs180" localSheetId="0" hidden="1">'Nurser Rostering'!$F$30</definedName>
    <definedName name="solver_lhs181" localSheetId="0" hidden="1">'Nurser Rostering'!$G$30</definedName>
    <definedName name="solver_lhs182" localSheetId="0" hidden="1">'Nurser Rostering'!$H$30</definedName>
    <definedName name="solver_lhs183" localSheetId="0" hidden="1">'Nurser Rostering'!$I$30</definedName>
    <definedName name="solver_lhs184" localSheetId="0" hidden="1">'Nurser Rostering'!$J$30</definedName>
    <definedName name="solver_lhs185" localSheetId="0" hidden="1">'Nurser Rostering'!$K$30</definedName>
    <definedName name="solver_lhs186" localSheetId="0" hidden="1">'Nurser Rostering'!$L$30</definedName>
    <definedName name="solver_lhs187" localSheetId="0" hidden="1">'Nurser Rostering'!$M$30</definedName>
    <definedName name="solver_lhs188" localSheetId="0" hidden="1">'Nurser Rostering'!$N$30</definedName>
    <definedName name="solver_lhs189" localSheetId="0" hidden="1">'Nurser Rostering'!$O$30</definedName>
    <definedName name="solver_lhs19" localSheetId="0" hidden="1">'Nurser Rostering'!$M$32</definedName>
    <definedName name="solver_lhs19" localSheetId="1" hidden="1">'Rotation Assignment'!$N$35</definedName>
    <definedName name="solver_lhs190" localSheetId="0" hidden="1">'Nurser Rostering'!$P$30</definedName>
    <definedName name="solver_lhs191" localSheetId="0" hidden="1">'Nurser Rostering'!$Q$30</definedName>
    <definedName name="solver_lhs192" localSheetId="0" hidden="1">'Nurser Rostering'!$R$30</definedName>
    <definedName name="solver_lhs2" localSheetId="0" hidden="1">'Nurser Rostering'!$V$8</definedName>
    <definedName name="solver_lhs2" localSheetId="1" hidden="1">'Rotation Assignment'!$G$33</definedName>
    <definedName name="solver_lhs20" localSheetId="0" hidden="1">'Nurser Rostering'!$N$32</definedName>
    <definedName name="solver_lhs20" localSheetId="1" hidden="1">'Rotation Assignment'!$O$35</definedName>
    <definedName name="solver_lhs21" localSheetId="0" hidden="1">'Nurser Rostering'!$O$32</definedName>
    <definedName name="solver_lhs21" localSheetId="1" hidden="1">'Rotation Assignment'!$O$35</definedName>
    <definedName name="solver_lhs22" localSheetId="0" hidden="1">'Nurser Rostering'!$P$32</definedName>
    <definedName name="solver_lhs22" localSheetId="1" hidden="1">'Rotation Assignment'!$F$8</definedName>
    <definedName name="solver_lhs23" localSheetId="0" hidden="1">'Nurser Rostering'!$Q$32</definedName>
    <definedName name="solver_lhs23" localSheetId="1" hidden="1">'Rotation Assignment'!$G$8</definedName>
    <definedName name="solver_lhs24" localSheetId="0" hidden="1">'Nurser Rostering'!$R$32</definedName>
    <definedName name="solver_lhs24" localSheetId="1" hidden="1">'Rotation Assignment'!$H$8</definedName>
    <definedName name="solver_lhs25" localSheetId="0" hidden="1">'Nurser Rostering'!$E$34</definedName>
    <definedName name="solver_lhs25" localSheetId="1" hidden="1">'Rotation Assignment'!$I$8</definedName>
    <definedName name="solver_lhs26" localSheetId="0" hidden="1">'Nurser Rostering'!$F$34</definedName>
    <definedName name="solver_lhs26" localSheetId="1" hidden="1">'Rotation Assignment'!$J$8</definedName>
    <definedName name="solver_lhs27" localSheetId="0" hidden="1">'Nurser Rostering'!$G$34</definedName>
    <definedName name="solver_lhs27" localSheetId="1" hidden="1">'Rotation Assignment'!$K$8</definedName>
    <definedName name="solver_lhs28" localSheetId="0" hidden="1">'Nurser Rostering'!$H$34</definedName>
    <definedName name="solver_lhs28" localSheetId="1" hidden="1">'Rotation Assignment'!$L$8</definedName>
    <definedName name="solver_lhs29" localSheetId="0" hidden="1">'Nurser Rostering'!$I$34</definedName>
    <definedName name="solver_lhs29" localSheetId="1" hidden="1">'Rotation Assignment'!$M$8</definedName>
    <definedName name="solver_lhs3" localSheetId="0" hidden="1">'Nurser Rostering'!$V$11</definedName>
    <definedName name="solver_lhs3" localSheetId="1" hidden="1">'Rotation Assignment'!$H$33</definedName>
    <definedName name="solver_lhs30" localSheetId="0" hidden="1">'Nurser Rostering'!$J$34</definedName>
    <definedName name="solver_lhs30" localSheetId="1" hidden="1">'Rotation Assignment'!$N$8</definedName>
    <definedName name="solver_lhs31" localSheetId="0" hidden="1">'Nurser Rostering'!$K$34</definedName>
    <definedName name="solver_lhs31" localSheetId="1" hidden="1">'Rotation Assignment'!$O$8</definedName>
    <definedName name="solver_lhs32" localSheetId="0" hidden="1">'Nurser Rostering'!$L$34</definedName>
    <definedName name="solver_lhs32" localSheetId="1" hidden="1">'Rotation Assignment'!$F$11</definedName>
    <definedName name="solver_lhs33" localSheetId="0" hidden="1">'Nurser Rostering'!$M$34</definedName>
    <definedName name="solver_lhs33" localSheetId="1" hidden="1">'Rotation Assignment'!$G$11</definedName>
    <definedName name="solver_lhs34" localSheetId="0" hidden="1">'Nurser Rostering'!$N$34</definedName>
    <definedName name="solver_lhs34" localSheetId="1" hidden="1">'Rotation Assignment'!$H$11</definedName>
    <definedName name="solver_lhs35" localSheetId="0" hidden="1">'Nurser Rostering'!$O$34</definedName>
    <definedName name="solver_lhs35" localSheetId="1" hidden="1">'Rotation Assignment'!$I$11</definedName>
    <definedName name="solver_lhs36" localSheetId="0" hidden="1">'Nurser Rostering'!$P$34</definedName>
    <definedName name="solver_lhs36" localSheetId="1" hidden="1">'Rotation Assignment'!$J$11</definedName>
    <definedName name="solver_lhs37" localSheetId="0" hidden="1">'Nurser Rostering'!$Q$34</definedName>
    <definedName name="solver_lhs37" localSheetId="1" hidden="1">'Rotation Assignment'!$K$11</definedName>
    <definedName name="solver_lhs38" localSheetId="0" hidden="1">'Nurser Rostering'!$R$34</definedName>
    <definedName name="solver_lhs38" localSheetId="1" hidden="1">'Rotation Assignment'!$L$11</definedName>
    <definedName name="solver_lhs39" localSheetId="0" hidden="1">'Nurser Rostering'!$E$36</definedName>
    <definedName name="solver_lhs39" localSheetId="1" hidden="1">'Rotation Assignment'!$M$11</definedName>
    <definedName name="solver_lhs4" localSheetId="0" hidden="1">'Nurser Rostering'!$V$13</definedName>
    <definedName name="solver_lhs4" localSheetId="1" hidden="1">'Rotation Assignment'!$I$33</definedName>
    <definedName name="solver_lhs40" localSheetId="0" hidden="1">'Nurser Rostering'!$F$36</definedName>
    <definedName name="solver_lhs40" localSheetId="1" hidden="1">'Rotation Assignment'!$N$11</definedName>
    <definedName name="solver_lhs41" localSheetId="0" hidden="1">'Nurser Rostering'!$G$36</definedName>
    <definedName name="solver_lhs41" localSheetId="1" hidden="1">'Rotation Assignment'!$O$11</definedName>
    <definedName name="solver_lhs42" localSheetId="0" hidden="1">'Nurser Rostering'!$H$36</definedName>
    <definedName name="solver_lhs42" localSheetId="1" hidden="1">'Rotation Assignment'!$F$14</definedName>
    <definedName name="solver_lhs43" localSheetId="0" hidden="1">'Nurser Rostering'!$I$36</definedName>
    <definedName name="solver_lhs43" localSheetId="1" hidden="1">'Rotation Assignment'!$G$14</definedName>
    <definedName name="solver_lhs44" localSheetId="0" hidden="1">'Nurser Rostering'!$J$36</definedName>
    <definedName name="solver_lhs44" localSheetId="1" hidden="1">'Rotation Assignment'!$H$14</definedName>
    <definedName name="solver_lhs45" localSheetId="0" hidden="1">'Nurser Rostering'!$K$36</definedName>
    <definedName name="solver_lhs45" localSheetId="1" hidden="1">'Rotation Assignment'!$I$14</definedName>
    <definedName name="solver_lhs46" localSheetId="0" hidden="1">'Nurser Rostering'!$L$36</definedName>
    <definedName name="solver_lhs46" localSheetId="1" hidden="1">'Rotation Assignment'!$J$14</definedName>
    <definedName name="solver_lhs47" localSheetId="0" hidden="1">'Nurser Rostering'!$M$36</definedName>
    <definedName name="solver_lhs47" localSheetId="1" hidden="1">'Rotation Assignment'!$K$14</definedName>
    <definedName name="solver_lhs48" localSheetId="0" hidden="1">'Nurser Rostering'!$N$36</definedName>
    <definedName name="solver_lhs48" localSheetId="1" hidden="1">'Rotation Assignment'!$L$14</definedName>
    <definedName name="solver_lhs49" localSheetId="0" hidden="1">'Nurser Rostering'!$O$36</definedName>
    <definedName name="solver_lhs49" localSheetId="1" hidden="1">'Rotation Assignment'!$M$14</definedName>
    <definedName name="solver_lhs5" localSheetId="0" hidden="1">'Nurser Rostering'!$V$16</definedName>
    <definedName name="solver_lhs5" localSheetId="1" hidden="1">'Rotation Assignment'!$J$33</definedName>
    <definedName name="solver_lhs50" localSheetId="0" hidden="1">'Nurser Rostering'!$P$36</definedName>
    <definedName name="solver_lhs50" localSheetId="1" hidden="1">'Rotation Assignment'!$N$14</definedName>
    <definedName name="solver_lhs51" localSheetId="0" hidden="1">'Nurser Rostering'!$Q$36</definedName>
    <definedName name="solver_lhs51" localSheetId="1" hidden="1">'Rotation Assignment'!$O$14</definedName>
    <definedName name="solver_lhs52" localSheetId="0" hidden="1">'Nurser Rostering'!$R$36</definedName>
    <definedName name="solver_lhs52" localSheetId="1" hidden="1">'Rotation Assignment'!$F$17</definedName>
    <definedName name="solver_lhs53" localSheetId="0" hidden="1">'Nurser Rostering'!$E$10</definedName>
    <definedName name="solver_lhs53" localSheetId="1" hidden="1">'Rotation Assignment'!$F$19</definedName>
    <definedName name="solver_lhs54" localSheetId="0" hidden="1">'Nurser Rostering'!$F$10</definedName>
    <definedName name="solver_lhs54" localSheetId="1" hidden="1">'Rotation Assignment'!$F$21</definedName>
    <definedName name="solver_lhs55" localSheetId="0" hidden="1">'Nurser Rostering'!$G$10</definedName>
    <definedName name="solver_lhs55" localSheetId="1" hidden="1">'Rotation Assignment'!$F$23</definedName>
    <definedName name="solver_lhs56" localSheetId="0" hidden="1">'Nurser Rostering'!$H$10</definedName>
    <definedName name="solver_lhs56" localSheetId="1" hidden="1">'Rotation Assignment'!$F$25</definedName>
    <definedName name="solver_lhs57" localSheetId="0" hidden="1">'Nurser Rostering'!$I$10</definedName>
    <definedName name="solver_lhs57" localSheetId="1" hidden="1">'Rotation Assignment'!$F$27</definedName>
    <definedName name="solver_lhs58" localSheetId="0" hidden="1">'Nurser Rostering'!$J$10</definedName>
    <definedName name="solver_lhs58" localSheetId="1" hidden="1">'Rotation Assignment'!$P$6</definedName>
    <definedName name="solver_lhs59" localSheetId="0" hidden="1">'Nurser Rostering'!$K$10</definedName>
    <definedName name="solver_lhs59" localSheetId="1" hidden="1">'Rotation Assignment'!$P$6</definedName>
    <definedName name="solver_lhs6" localSheetId="0" hidden="1">'Nurser Rostering'!$V$18</definedName>
    <definedName name="solver_lhs6" localSheetId="1" hidden="1">'Rotation Assignment'!$K$33</definedName>
    <definedName name="solver_lhs60" localSheetId="0" hidden="1">'Nurser Rostering'!$L$10</definedName>
    <definedName name="solver_lhs60" localSheetId="1" hidden="1">'Rotation Assignment'!$P$7</definedName>
    <definedName name="solver_lhs61" localSheetId="0" hidden="1">'Nurser Rostering'!$M$10</definedName>
    <definedName name="solver_lhs61" localSheetId="1" hidden="1">'Rotation Assignment'!$P$7</definedName>
    <definedName name="solver_lhs62" localSheetId="0" hidden="1">'Nurser Rostering'!$N$10</definedName>
    <definedName name="solver_lhs62" localSheetId="1" hidden="1">'Rotation Assignment'!$P$9</definedName>
    <definedName name="solver_lhs63" localSheetId="0" hidden="1">'Nurser Rostering'!$O$10</definedName>
    <definedName name="solver_lhs63" localSheetId="1" hidden="1">'Rotation Assignment'!$P$9</definedName>
    <definedName name="solver_lhs64" localSheetId="0" hidden="1">'Nurser Rostering'!$P$10</definedName>
    <definedName name="solver_lhs64" localSheetId="1" hidden="1">'Rotation Assignment'!$P$10</definedName>
    <definedName name="solver_lhs65" localSheetId="0" hidden="1">'Nurser Rostering'!$Q$10</definedName>
    <definedName name="solver_lhs65" localSheetId="1" hidden="1">'Rotation Assignment'!$P$10</definedName>
    <definedName name="solver_lhs66" localSheetId="0" hidden="1">'Nurser Rostering'!$R$10</definedName>
    <definedName name="solver_lhs66" localSheetId="1" hidden="1">'Rotation Assignment'!$P$12</definedName>
    <definedName name="solver_lhs67" localSheetId="0" hidden="1">'Nurser Rostering'!$E$15</definedName>
    <definedName name="solver_lhs67" localSheetId="1" hidden="1">'Rotation Assignment'!$P$12</definedName>
    <definedName name="solver_lhs68" localSheetId="0" hidden="1">'Nurser Rostering'!$F$15</definedName>
    <definedName name="solver_lhs68" localSheetId="1" hidden="1">'Rotation Assignment'!$P$13</definedName>
    <definedName name="solver_lhs69" localSheetId="0" hidden="1">'Nurser Rostering'!$G$15</definedName>
    <definedName name="solver_lhs69" localSheetId="1" hidden="1">'Rotation Assignment'!$P$13</definedName>
    <definedName name="solver_lhs7" localSheetId="0" hidden="1">'Nurser Rostering'!$V$21</definedName>
    <definedName name="solver_lhs7" localSheetId="1" hidden="1">'Rotation Assignment'!$L$33</definedName>
    <definedName name="solver_lhs70" localSheetId="0" hidden="1">'Nurser Rostering'!$H$15</definedName>
    <definedName name="solver_lhs70" localSheetId="1" hidden="1">'Rotation Assignment'!$F$6:$O$7</definedName>
    <definedName name="solver_lhs71" localSheetId="0" hidden="1">'Nurser Rostering'!$I$15</definedName>
    <definedName name="solver_lhs71" localSheetId="1" hidden="1">'Rotation Assignment'!$F$9:$O$10</definedName>
    <definedName name="solver_lhs72" localSheetId="0" hidden="1">'Nurser Rostering'!$J$15</definedName>
    <definedName name="solver_lhs72" localSheetId="1" hidden="1">'Rotation Assignment'!$F$12:$O$13</definedName>
    <definedName name="solver_lhs73" localSheetId="0" hidden="1">'Nurser Rostering'!$K$15</definedName>
    <definedName name="solver_lhs73" localSheetId="1" hidden="1">'Rotation Assignment'!$F$17:$O$17</definedName>
    <definedName name="solver_lhs74" localSheetId="0" hidden="1">'Nurser Rostering'!$L$15</definedName>
    <definedName name="solver_lhs74" localSheetId="1" hidden="1">'Rotation Assignment'!$F$19:$O$19</definedName>
    <definedName name="solver_lhs75" localSheetId="0" hidden="1">'Nurser Rostering'!$M$15</definedName>
    <definedName name="solver_lhs75" localSheetId="1" hidden="1">'Rotation Assignment'!$F$21:$O$21</definedName>
    <definedName name="solver_lhs76" localSheetId="0" hidden="1">'Nurser Rostering'!$N$15</definedName>
    <definedName name="solver_lhs76" localSheetId="1" hidden="1">'Rotation Assignment'!$F$23:$O$23</definedName>
    <definedName name="solver_lhs77" localSheetId="0" hidden="1">'Nurser Rostering'!$O$15</definedName>
    <definedName name="solver_lhs77" localSheetId="1" hidden="1">'Rotation Assignment'!$F$25:$O$25</definedName>
    <definedName name="solver_lhs78" localSheetId="0" hidden="1">'Nurser Rostering'!$P$15</definedName>
    <definedName name="solver_lhs78" localSheetId="1" hidden="1">'Rotation Assignment'!$F$27:$O$27</definedName>
    <definedName name="solver_lhs79" localSheetId="0" hidden="1">'Nurser Rostering'!$Q$15</definedName>
    <definedName name="solver_lhs79" localSheetId="1" hidden="1">'Rotation Assignment'!$P$17</definedName>
    <definedName name="solver_lhs8" localSheetId="0" hidden="1">'Nurser Rostering'!$V$23</definedName>
    <definedName name="solver_lhs8" localSheetId="1" hidden="1">'Rotation Assignment'!$M$33</definedName>
    <definedName name="solver_lhs80" localSheetId="0" hidden="1">'Nurser Rostering'!$R$15</definedName>
    <definedName name="solver_lhs80" localSheetId="1" hidden="1">'Rotation Assignment'!$P$19</definedName>
    <definedName name="solver_lhs81" localSheetId="0" hidden="1">'Nurser Rostering'!$E$20</definedName>
    <definedName name="solver_lhs81" localSheetId="1" hidden="1">'Rotation Assignment'!$P$21</definedName>
    <definedName name="solver_lhs82" localSheetId="0" hidden="1">'Nurser Rostering'!$F$20</definedName>
    <definedName name="solver_lhs82" localSheetId="1" hidden="1">'Rotation Assignment'!$P$23</definedName>
    <definedName name="solver_lhs83" localSheetId="0" hidden="1">'Nurser Rostering'!$G$20</definedName>
    <definedName name="solver_lhs83" localSheetId="1" hidden="1">'Rotation Assignment'!$P$25</definedName>
    <definedName name="solver_lhs84" localSheetId="0" hidden="1">'Nurser Rostering'!$H$20</definedName>
    <definedName name="solver_lhs84" localSheetId="1" hidden="1">'Rotation Assignment'!$P$27</definedName>
    <definedName name="solver_lhs85" localSheetId="0" hidden="1">'Nurser Rostering'!$I$20</definedName>
    <definedName name="solver_lhs85" localSheetId="1" hidden="1">'Rotation Assignment'!$G$17</definedName>
    <definedName name="solver_lhs86" localSheetId="0" hidden="1">'Nurser Rostering'!$J$20</definedName>
    <definedName name="solver_lhs86" localSheetId="1" hidden="1">'Rotation Assignment'!$H$17</definedName>
    <definedName name="solver_lhs87" localSheetId="0" hidden="1">'Nurser Rostering'!$K$20</definedName>
    <definedName name="solver_lhs87" localSheetId="1" hidden="1">'Rotation Assignment'!$I$17</definedName>
    <definedName name="solver_lhs88" localSheetId="0" hidden="1">'Nurser Rostering'!$L$20</definedName>
    <definedName name="solver_lhs88" localSheetId="1" hidden="1">'Rotation Assignment'!$J$17</definedName>
    <definedName name="solver_lhs89" localSheetId="0" hidden="1">'Nurser Rostering'!$M$20</definedName>
    <definedName name="solver_lhs89" localSheetId="1" hidden="1">'Rotation Assignment'!$K$17</definedName>
    <definedName name="solver_lhs9" localSheetId="0" hidden="1">'Nurser Rostering'!$V$26</definedName>
    <definedName name="solver_lhs9" localSheetId="1" hidden="1">'Rotation Assignment'!$N$33</definedName>
    <definedName name="solver_lhs90" localSheetId="0" hidden="1">'Nurser Rostering'!$N$20</definedName>
    <definedName name="solver_lhs90" localSheetId="1" hidden="1">'Rotation Assignment'!$L$17</definedName>
    <definedName name="solver_lhs91" localSheetId="0" hidden="1">'Nurser Rostering'!$O$20</definedName>
    <definedName name="solver_lhs91" localSheetId="1" hidden="1">'Rotation Assignment'!$M$17</definedName>
    <definedName name="solver_lhs92" localSheetId="0" hidden="1">'Nurser Rostering'!$P$20</definedName>
    <definedName name="solver_lhs92" localSheetId="1" hidden="1">'Rotation Assignment'!$N$17</definedName>
    <definedName name="solver_lhs93" localSheetId="0" hidden="1">'Nurser Rostering'!$Q$20</definedName>
    <definedName name="solver_lhs93" localSheetId="1" hidden="1">'Rotation Assignment'!$O$17</definedName>
    <definedName name="solver_lhs94" localSheetId="0" hidden="1">'Nurser Rostering'!$R$20</definedName>
    <definedName name="solver_lhs94" localSheetId="1" hidden="1">'Rotation Assignment'!$G$19:$O$19</definedName>
    <definedName name="solver_lhs95" localSheetId="0" hidden="1">'Nurser Rostering'!$E$25</definedName>
    <definedName name="solver_lhs95" localSheetId="1" hidden="1">'Rotation Assignment'!$G$21:$O$21</definedName>
    <definedName name="solver_lhs96" localSheetId="0" hidden="1">'Nurser Rostering'!$F$25</definedName>
    <definedName name="solver_lhs96" localSheetId="1" hidden="1">'Rotation Assignment'!$G$23:$O$23</definedName>
    <definedName name="solver_lhs97" localSheetId="0" hidden="1">'Nurser Rostering'!$G$25</definedName>
    <definedName name="solver_lhs97" localSheetId="1" hidden="1">'Rotation Assignment'!$G$25:$O$25</definedName>
    <definedName name="solver_lhs98" localSheetId="0" hidden="1">'Nurser Rostering'!$H$25</definedName>
    <definedName name="solver_lhs98" localSheetId="1" hidden="1">'Rotation Assignment'!$G$27:$O$27</definedName>
    <definedName name="solver_lhs99" localSheetId="0" hidden="1">'Nurser Rostering'!$I$25</definedName>
    <definedName name="solver_neg" localSheetId="0" hidden="1">1</definedName>
    <definedName name="solver_neg" localSheetId="1" hidden="1">1</definedName>
    <definedName name="solver_num" localSheetId="0" hidden="1">192</definedName>
    <definedName name="solver_num" localSheetId="1" hidden="1">98</definedName>
    <definedName name="solver_nwt" localSheetId="0" hidden="1">1</definedName>
    <definedName name="solver_nwt" localSheetId="1" hidden="1">1</definedName>
    <definedName name="solver_opt" localSheetId="0" hidden="1">'Nurser Rostering'!$U$33</definedName>
    <definedName name="solver_opt" localSheetId="1" hidden="1">'Rotation Assignment'!$R$17</definedName>
    <definedName name="solver_pre" localSheetId="0" hidden="1">0.000001</definedName>
    <definedName name="solver_rel1" localSheetId="0" hidden="1">1</definedName>
    <definedName name="solver_rel1" localSheetId="1" hidden="1">2</definedName>
    <definedName name="solver_rel10" localSheetId="0" hidden="1">1</definedName>
    <definedName name="solver_rel10" localSheetId="1" hidden="1">2</definedName>
    <definedName name="solver_rel100" localSheetId="0" hidden="1">2</definedName>
    <definedName name="solver_rel101" localSheetId="0" hidden="1">2</definedName>
    <definedName name="solver_rel102" localSheetId="0" hidden="1">2</definedName>
    <definedName name="solver_rel103" localSheetId="0" hidden="1">2</definedName>
    <definedName name="solver_rel104" localSheetId="0" hidden="1">2</definedName>
    <definedName name="solver_rel105" localSheetId="0" hidden="1">2</definedName>
    <definedName name="solver_rel106" localSheetId="0" hidden="1">2</definedName>
    <definedName name="solver_rel107" localSheetId="0" hidden="1">2</definedName>
    <definedName name="solver_rel108" localSheetId="0" hidden="1">2</definedName>
    <definedName name="solver_rel109" localSheetId="0" hidden="1">1</definedName>
    <definedName name="solver_rel11" localSheetId="0" hidden="1">2</definedName>
    <definedName name="solver_rel11" localSheetId="1" hidden="1">2</definedName>
    <definedName name="solver_rel110" localSheetId="0" hidden="1">1</definedName>
    <definedName name="solver_rel111" localSheetId="0" hidden="1">1</definedName>
    <definedName name="solver_rel112" localSheetId="0" hidden="1">1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17" localSheetId="0" hidden="1">1</definedName>
    <definedName name="solver_rel118" localSheetId="0" hidden="1">1</definedName>
    <definedName name="solver_rel119" localSheetId="0" hidden="1">1</definedName>
    <definedName name="solver_rel12" localSheetId="0" hidden="1">2</definedName>
    <definedName name="solver_rel12" localSheetId="1" hidden="1">2</definedName>
    <definedName name="solver_rel120" localSheetId="0" hidden="1">1</definedName>
    <definedName name="solver_rel121" localSheetId="0" hidden="1">1</definedName>
    <definedName name="solver_rel122" localSheetId="0" hidden="1">1</definedName>
    <definedName name="solver_rel123" localSheetId="0" hidden="1">1</definedName>
    <definedName name="solver_rel124" localSheetId="0" hidden="1">1</definedName>
    <definedName name="solver_rel125" localSheetId="0" hidden="1">1</definedName>
    <definedName name="solver_rel126" localSheetId="0" hidden="1">1</definedName>
    <definedName name="solver_rel127" localSheetId="0" hidden="1">1</definedName>
    <definedName name="solver_rel128" localSheetId="0" hidden="1">1</definedName>
    <definedName name="solver_rel129" localSheetId="0" hidden="1">1</definedName>
    <definedName name="solver_rel13" localSheetId="0" hidden="1">2</definedName>
    <definedName name="solver_rel13" localSheetId="1" hidden="1">2</definedName>
    <definedName name="solver_rel130" localSheetId="0" hidden="1">1</definedName>
    <definedName name="solver_rel131" localSheetId="0" hidden="1">1</definedName>
    <definedName name="solver_rel132" localSheetId="0" hidden="1">1</definedName>
    <definedName name="solver_rel133" localSheetId="0" hidden="1">1</definedName>
    <definedName name="solver_rel134" localSheetId="0" hidden="1">1</definedName>
    <definedName name="solver_rel135" localSheetId="0" hidden="1">1</definedName>
    <definedName name="solver_rel136" localSheetId="0" hidden="1">1</definedName>
    <definedName name="solver_rel137" localSheetId="0" hidden="1">1</definedName>
    <definedName name="solver_rel138" localSheetId="0" hidden="1">1</definedName>
    <definedName name="solver_rel139" localSheetId="0" hidden="1">1</definedName>
    <definedName name="solver_rel14" localSheetId="0" hidden="1">2</definedName>
    <definedName name="solver_rel14" localSheetId="1" hidden="1">2</definedName>
    <definedName name="solver_rel140" localSheetId="0" hidden="1">1</definedName>
    <definedName name="solver_rel141" localSheetId="0" hidden="1">1</definedName>
    <definedName name="solver_rel142" localSheetId="0" hidden="1">1</definedName>
    <definedName name="solver_rel143" localSheetId="0" hidden="1">1</definedName>
    <definedName name="solver_rel144" localSheetId="0" hidden="1">1</definedName>
    <definedName name="solver_rel145" localSheetId="0" hidden="1">1</definedName>
    <definedName name="solver_rel146" localSheetId="0" hidden="1">1</definedName>
    <definedName name="solver_rel147" localSheetId="0" hidden="1">1</definedName>
    <definedName name="solver_rel148" localSheetId="0" hidden="1">1</definedName>
    <definedName name="solver_rel149" localSheetId="0" hidden="1">1</definedName>
    <definedName name="solver_rel15" localSheetId="0" hidden="1">2</definedName>
    <definedName name="solver_rel15" localSheetId="1" hidden="1">2</definedName>
    <definedName name="solver_rel150" localSheetId="0" hidden="1">1</definedName>
    <definedName name="solver_rel151" localSheetId="0" hidden="1">1</definedName>
    <definedName name="solver_rel152" localSheetId="0" hidden="1">1</definedName>
    <definedName name="solver_rel153" localSheetId="0" hidden="1">1</definedName>
    <definedName name="solver_rel154" localSheetId="0" hidden="1">1</definedName>
    <definedName name="solver_rel155" localSheetId="0" hidden="1">1</definedName>
    <definedName name="solver_rel156" localSheetId="0" hidden="1">1</definedName>
    <definedName name="solver_rel157" localSheetId="0" hidden="1">1</definedName>
    <definedName name="solver_rel158" localSheetId="0" hidden="1">1</definedName>
    <definedName name="solver_rel159" localSheetId="0" hidden="1">1</definedName>
    <definedName name="solver_rel16" localSheetId="0" hidden="1">2</definedName>
    <definedName name="solver_rel16" localSheetId="1" hidden="1">2</definedName>
    <definedName name="solver_rel160" localSheetId="0" hidden="1">1</definedName>
    <definedName name="solver_rel161" localSheetId="0" hidden="1">1</definedName>
    <definedName name="solver_rel162" localSheetId="0" hidden="1">1</definedName>
    <definedName name="solver_rel163" localSheetId="0" hidden="1">1</definedName>
    <definedName name="solver_rel164" localSheetId="0" hidden="1">1</definedName>
    <definedName name="solver_rel165" localSheetId="0" hidden="1">1</definedName>
    <definedName name="solver_rel166" localSheetId="0" hidden="1">1</definedName>
    <definedName name="solver_rel167" localSheetId="0" hidden="1">1</definedName>
    <definedName name="solver_rel168" localSheetId="0" hidden="1">1</definedName>
    <definedName name="solver_rel169" localSheetId="0" hidden="1">1</definedName>
    <definedName name="solver_rel17" localSheetId="0" hidden="1">2</definedName>
    <definedName name="solver_rel17" localSheetId="1" hidden="1">2</definedName>
    <definedName name="solver_rel170" localSheetId="0" hidden="1">1</definedName>
    <definedName name="solver_rel171" localSheetId="0" hidden="1">1</definedName>
    <definedName name="solver_rel172" localSheetId="0" hidden="1">1</definedName>
    <definedName name="solver_rel173" localSheetId="0" hidden="1">1</definedName>
    <definedName name="solver_rel174" localSheetId="0" hidden="1">5</definedName>
    <definedName name="solver_rel175" localSheetId="0" hidden="1">5</definedName>
    <definedName name="solver_rel176" localSheetId="0" hidden="1">5</definedName>
    <definedName name="solver_rel177" localSheetId="0" hidden="1">5</definedName>
    <definedName name="solver_rel178" localSheetId="0" hidden="1">5</definedName>
    <definedName name="solver_rel179" localSheetId="0" hidden="1">2</definedName>
    <definedName name="solver_rel18" localSheetId="0" hidden="1">2</definedName>
    <definedName name="solver_rel18" localSheetId="1" hidden="1">2</definedName>
    <definedName name="solver_rel180" localSheetId="0" hidden="1">2</definedName>
    <definedName name="solver_rel181" localSheetId="0" hidden="1">2</definedName>
    <definedName name="solver_rel182" localSheetId="0" hidden="1">2</definedName>
    <definedName name="solver_rel183" localSheetId="0" hidden="1">2</definedName>
    <definedName name="solver_rel184" localSheetId="0" hidden="1">2</definedName>
    <definedName name="solver_rel185" localSheetId="0" hidden="1">2</definedName>
    <definedName name="solver_rel186" localSheetId="0" hidden="1">2</definedName>
    <definedName name="solver_rel187" localSheetId="0" hidden="1">2</definedName>
    <definedName name="solver_rel188" localSheetId="0" hidden="1">2</definedName>
    <definedName name="solver_rel189" localSheetId="0" hidden="1">2</definedName>
    <definedName name="solver_rel19" localSheetId="0" hidden="1">2</definedName>
    <definedName name="solver_rel19" localSheetId="1" hidden="1">2</definedName>
    <definedName name="solver_rel190" localSheetId="0" hidden="1">2</definedName>
    <definedName name="solver_rel191" localSheetId="0" hidden="1">2</definedName>
    <definedName name="solver_rel192" localSheetId="0" hidden="1">2</definedName>
    <definedName name="solver_rel2" localSheetId="0" hidden="1">1</definedName>
    <definedName name="solver_rel2" localSheetId="1" hidden="1">2</definedName>
    <definedName name="solver_rel20" localSheetId="0" hidden="1">2</definedName>
    <definedName name="solver_rel20" localSheetId="1" hidden="1">2</definedName>
    <definedName name="solver_rel21" localSheetId="0" hidden="1">2</definedName>
    <definedName name="solver_rel21" localSheetId="1" hidden="1">2</definedName>
    <definedName name="solver_rel22" localSheetId="0" hidden="1">2</definedName>
    <definedName name="solver_rel22" localSheetId="1" hidden="1">1</definedName>
    <definedName name="solver_rel23" localSheetId="0" hidden="1">2</definedName>
    <definedName name="solver_rel23" localSheetId="1" hidden="1">1</definedName>
    <definedName name="solver_rel24" localSheetId="0" hidden="1">2</definedName>
    <definedName name="solver_rel24" localSheetId="1" hidden="1">1</definedName>
    <definedName name="solver_rel25" localSheetId="0" hidden="1">2</definedName>
    <definedName name="solver_rel25" localSheetId="1" hidden="1">1</definedName>
    <definedName name="solver_rel26" localSheetId="0" hidden="1">2</definedName>
    <definedName name="solver_rel26" localSheetId="1" hidden="1">1</definedName>
    <definedName name="solver_rel27" localSheetId="0" hidden="1">2</definedName>
    <definedName name="solver_rel27" localSheetId="1" hidden="1">1</definedName>
    <definedName name="solver_rel28" localSheetId="0" hidden="1">2</definedName>
    <definedName name="solver_rel28" localSheetId="1" hidden="1">1</definedName>
    <definedName name="solver_rel29" localSheetId="0" hidden="1">2</definedName>
    <definedName name="solver_rel29" localSheetId="1" hidden="1">1</definedName>
    <definedName name="solver_rel3" localSheetId="0" hidden="1">1</definedName>
    <definedName name="solver_rel3" localSheetId="1" hidden="1">2</definedName>
    <definedName name="solver_rel30" localSheetId="0" hidden="1">2</definedName>
    <definedName name="solver_rel30" localSheetId="1" hidden="1">1</definedName>
    <definedName name="solver_rel31" localSheetId="0" hidden="1">2</definedName>
    <definedName name="solver_rel31" localSheetId="1" hidden="1">1</definedName>
    <definedName name="solver_rel32" localSheetId="0" hidden="1">2</definedName>
    <definedName name="solver_rel32" localSheetId="1" hidden="1">1</definedName>
    <definedName name="solver_rel33" localSheetId="0" hidden="1">2</definedName>
    <definedName name="solver_rel33" localSheetId="1" hidden="1">1</definedName>
    <definedName name="solver_rel34" localSheetId="0" hidden="1">2</definedName>
    <definedName name="solver_rel34" localSheetId="1" hidden="1">1</definedName>
    <definedName name="solver_rel35" localSheetId="0" hidden="1">2</definedName>
    <definedName name="solver_rel35" localSheetId="1" hidden="1">1</definedName>
    <definedName name="solver_rel36" localSheetId="0" hidden="1">2</definedName>
    <definedName name="solver_rel36" localSheetId="1" hidden="1">1</definedName>
    <definedName name="solver_rel37" localSheetId="0" hidden="1">2</definedName>
    <definedName name="solver_rel37" localSheetId="1" hidden="1">1</definedName>
    <definedName name="solver_rel38" localSheetId="0" hidden="1">2</definedName>
    <definedName name="solver_rel38" localSheetId="1" hidden="1">1</definedName>
    <definedName name="solver_rel39" localSheetId="0" hidden="1">2</definedName>
    <definedName name="solver_rel39" localSheetId="1" hidden="1">1</definedName>
    <definedName name="solver_rel4" localSheetId="0" hidden="1">1</definedName>
    <definedName name="solver_rel4" localSheetId="1" hidden="1">2</definedName>
    <definedName name="solver_rel40" localSheetId="0" hidden="1">2</definedName>
    <definedName name="solver_rel40" localSheetId="1" hidden="1">1</definedName>
    <definedName name="solver_rel41" localSheetId="0" hidden="1">2</definedName>
    <definedName name="solver_rel41" localSheetId="1" hidden="1">2</definedName>
    <definedName name="solver_rel42" localSheetId="0" hidden="1">2</definedName>
    <definedName name="solver_rel42" localSheetId="1" hidden="1">1</definedName>
    <definedName name="solver_rel43" localSheetId="0" hidden="1">2</definedName>
    <definedName name="solver_rel43" localSheetId="1" hidden="1">1</definedName>
    <definedName name="solver_rel44" localSheetId="0" hidden="1">2</definedName>
    <definedName name="solver_rel44" localSheetId="1" hidden="1">1</definedName>
    <definedName name="solver_rel45" localSheetId="0" hidden="1">2</definedName>
    <definedName name="solver_rel45" localSheetId="1" hidden="1">1</definedName>
    <definedName name="solver_rel46" localSheetId="0" hidden="1">2</definedName>
    <definedName name="solver_rel46" localSheetId="1" hidden="1">1</definedName>
    <definedName name="solver_rel47" localSheetId="0" hidden="1">2</definedName>
    <definedName name="solver_rel47" localSheetId="1" hidden="1">1</definedName>
    <definedName name="solver_rel48" localSheetId="0" hidden="1">2</definedName>
    <definedName name="solver_rel48" localSheetId="1" hidden="1">1</definedName>
    <definedName name="solver_rel49" localSheetId="0" hidden="1">2</definedName>
    <definedName name="solver_rel49" localSheetId="1" hidden="1">1</definedName>
    <definedName name="solver_rel5" localSheetId="0" hidden="1">1</definedName>
    <definedName name="solver_rel5" localSheetId="1" hidden="1">2</definedName>
    <definedName name="solver_rel50" localSheetId="0" hidden="1">2</definedName>
    <definedName name="solver_rel50" localSheetId="1" hidden="1">1</definedName>
    <definedName name="solver_rel51" localSheetId="0" hidden="1">2</definedName>
    <definedName name="solver_rel51" localSheetId="1" hidden="1">1</definedName>
    <definedName name="solver_rel52" localSheetId="0" hidden="1">2</definedName>
    <definedName name="solver_rel52" localSheetId="1" hidden="1">2</definedName>
    <definedName name="solver_rel53" localSheetId="0" hidden="1">2</definedName>
    <definedName name="solver_rel53" localSheetId="1" hidden="1">2</definedName>
    <definedName name="solver_rel54" localSheetId="0" hidden="1">2</definedName>
    <definedName name="solver_rel54" localSheetId="1" hidden="1">2</definedName>
    <definedName name="solver_rel55" localSheetId="0" hidden="1">2</definedName>
    <definedName name="solver_rel55" localSheetId="1" hidden="1">2</definedName>
    <definedName name="solver_rel56" localSheetId="0" hidden="1">2</definedName>
    <definedName name="solver_rel56" localSheetId="1" hidden="1">2</definedName>
    <definedName name="solver_rel57" localSheetId="0" hidden="1">2</definedName>
    <definedName name="solver_rel57" localSheetId="1" hidden="1">2</definedName>
    <definedName name="solver_rel58" localSheetId="0" hidden="1">2</definedName>
    <definedName name="solver_rel58" localSheetId="1" hidden="1">3</definedName>
    <definedName name="solver_rel59" localSheetId="0" hidden="1">2</definedName>
    <definedName name="solver_rel59" localSheetId="1" hidden="1">1</definedName>
    <definedName name="solver_rel6" localSheetId="0" hidden="1">1</definedName>
    <definedName name="solver_rel6" localSheetId="1" hidden="1">2</definedName>
    <definedName name="solver_rel60" localSheetId="0" hidden="1">2</definedName>
    <definedName name="solver_rel60" localSheetId="1" hidden="1">3</definedName>
    <definedName name="solver_rel61" localSheetId="0" hidden="1">2</definedName>
    <definedName name="solver_rel61" localSheetId="1" hidden="1">1</definedName>
    <definedName name="solver_rel62" localSheetId="0" hidden="1">2</definedName>
    <definedName name="solver_rel62" localSheetId="1" hidden="1">3</definedName>
    <definedName name="solver_rel63" localSheetId="0" hidden="1">2</definedName>
    <definedName name="solver_rel63" localSheetId="1" hidden="1">1</definedName>
    <definedName name="solver_rel64" localSheetId="0" hidden="1">2</definedName>
    <definedName name="solver_rel64" localSheetId="1" hidden="1">3</definedName>
    <definedName name="solver_rel65" localSheetId="0" hidden="1">2</definedName>
    <definedName name="solver_rel65" localSheetId="1" hidden="1">1</definedName>
    <definedName name="solver_rel66" localSheetId="0" hidden="1">2</definedName>
    <definedName name="solver_rel66" localSheetId="1" hidden="1">3</definedName>
    <definedName name="solver_rel67" localSheetId="0" hidden="1">2</definedName>
    <definedName name="solver_rel67" localSheetId="1" hidden="1">1</definedName>
    <definedName name="solver_rel68" localSheetId="0" hidden="1">2</definedName>
    <definedName name="solver_rel68" localSheetId="1" hidden="1">3</definedName>
    <definedName name="solver_rel69" localSheetId="0" hidden="1">2</definedName>
    <definedName name="solver_rel69" localSheetId="1" hidden="1">1</definedName>
    <definedName name="solver_rel7" localSheetId="0" hidden="1">1</definedName>
    <definedName name="solver_rel7" localSheetId="1" hidden="1">2</definedName>
    <definedName name="solver_rel70" localSheetId="0" hidden="1">2</definedName>
    <definedName name="solver_rel70" localSheetId="1" hidden="1">5</definedName>
    <definedName name="solver_rel71" localSheetId="0" hidden="1">2</definedName>
    <definedName name="solver_rel71" localSheetId="1" hidden="1">5</definedName>
    <definedName name="solver_rel72" localSheetId="0" hidden="1">2</definedName>
    <definedName name="solver_rel72" localSheetId="1" hidden="1">5</definedName>
    <definedName name="solver_rel73" localSheetId="0" hidden="1">2</definedName>
    <definedName name="solver_rel73" localSheetId="1" hidden="1">5</definedName>
    <definedName name="solver_rel74" localSheetId="0" hidden="1">2</definedName>
    <definedName name="solver_rel74" localSheetId="1" hidden="1">5</definedName>
    <definedName name="solver_rel75" localSheetId="0" hidden="1">2</definedName>
    <definedName name="solver_rel75" localSheetId="1" hidden="1">5</definedName>
    <definedName name="solver_rel76" localSheetId="0" hidden="1">2</definedName>
    <definedName name="solver_rel76" localSheetId="1" hidden="1">5</definedName>
    <definedName name="solver_rel77" localSheetId="0" hidden="1">2</definedName>
    <definedName name="solver_rel77" localSheetId="1" hidden="1">5</definedName>
    <definedName name="solver_rel78" localSheetId="0" hidden="1">2</definedName>
    <definedName name="solver_rel78" localSheetId="1" hidden="1">5</definedName>
    <definedName name="solver_rel79" localSheetId="0" hidden="1">2</definedName>
    <definedName name="solver_rel79" localSheetId="1" hidden="1">2</definedName>
    <definedName name="solver_rel8" localSheetId="0" hidden="1">1</definedName>
    <definedName name="solver_rel8" localSheetId="1" hidden="1">2</definedName>
    <definedName name="solver_rel80" localSheetId="0" hidden="1">2</definedName>
    <definedName name="solver_rel80" localSheetId="1" hidden="1">2</definedName>
    <definedName name="solver_rel81" localSheetId="0" hidden="1">2</definedName>
    <definedName name="solver_rel81" localSheetId="1" hidden="1">2</definedName>
    <definedName name="solver_rel82" localSheetId="0" hidden="1">2</definedName>
    <definedName name="solver_rel82" localSheetId="1" hidden="1">2</definedName>
    <definedName name="solver_rel83" localSheetId="0" hidden="1">2</definedName>
    <definedName name="solver_rel83" localSheetId="1" hidden="1">2</definedName>
    <definedName name="solver_rel84" localSheetId="0" hidden="1">2</definedName>
    <definedName name="solver_rel84" localSheetId="1" hidden="1">2</definedName>
    <definedName name="solver_rel85" localSheetId="0" hidden="1">2</definedName>
    <definedName name="solver_rel85" localSheetId="1" hidden="1">3</definedName>
    <definedName name="solver_rel86" localSheetId="0" hidden="1">2</definedName>
    <definedName name="solver_rel86" localSheetId="1" hidden="1">3</definedName>
    <definedName name="solver_rel87" localSheetId="0" hidden="1">2</definedName>
    <definedName name="solver_rel87" localSheetId="1" hidden="1">3</definedName>
    <definedName name="solver_rel88" localSheetId="0" hidden="1">2</definedName>
    <definedName name="solver_rel88" localSheetId="1" hidden="1">3</definedName>
    <definedName name="solver_rel89" localSheetId="0" hidden="1">2</definedName>
    <definedName name="solver_rel89" localSheetId="1" hidden="1">3</definedName>
    <definedName name="solver_rel9" localSheetId="0" hidden="1">1</definedName>
    <definedName name="solver_rel9" localSheetId="1" hidden="1">2</definedName>
    <definedName name="solver_rel90" localSheetId="0" hidden="1">2</definedName>
    <definedName name="solver_rel90" localSheetId="1" hidden="1">3</definedName>
    <definedName name="solver_rel91" localSheetId="0" hidden="1">2</definedName>
    <definedName name="solver_rel91" localSheetId="1" hidden="1">3</definedName>
    <definedName name="solver_rel92" localSheetId="0" hidden="1">2</definedName>
    <definedName name="solver_rel92" localSheetId="1" hidden="1">3</definedName>
    <definedName name="solver_rel93" localSheetId="0" hidden="1">2</definedName>
    <definedName name="solver_rel93" localSheetId="1" hidden="1">3</definedName>
    <definedName name="solver_rel94" localSheetId="0" hidden="1">2</definedName>
    <definedName name="solver_rel94" localSheetId="1" hidden="1">3</definedName>
    <definedName name="solver_rel95" localSheetId="0" hidden="1">2</definedName>
    <definedName name="solver_rel95" localSheetId="1" hidden="1">3</definedName>
    <definedName name="solver_rel96" localSheetId="0" hidden="1">2</definedName>
    <definedName name="solver_rel96" localSheetId="1" hidden="1">3</definedName>
    <definedName name="solver_rel97" localSheetId="0" hidden="1">2</definedName>
    <definedName name="solver_rel97" localSheetId="1" hidden="1">3</definedName>
    <definedName name="solver_rel98" localSheetId="0" hidden="1">2</definedName>
    <definedName name="solver_rel98" localSheetId="1" hidden="1">3</definedName>
    <definedName name="solver_rel99" localSheetId="0" hidden="1">2</definedName>
    <definedName name="solver_rhs1" localSheetId="0" hidden="1">'Nurser Rostering'!$W$6</definedName>
    <definedName name="solver_rhs1" localSheetId="1" hidden="1">'Rotation Assignment'!$F$34</definedName>
    <definedName name="solver_rhs10" localSheetId="0" hidden="1">'Nurser Rostering'!$W$28</definedName>
    <definedName name="solver_rhs10" localSheetId="1" hidden="1">'Rotation Assignment'!$O$34</definedName>
    <definedName name="solver_rhs100" localSheetId="0" hidden="1">1</definedName>
    <definedName name="solver_rhs101" localSheetId="0" hidden="1">1</definedName>
    <definedName name="solver_rhs102" localSheetId="0" hidden="1">1</definedName>
    <definedName name="solver_rhs103" localSheetId="0" hidden="1">1</definedName>
    <definedName name="solver_rhs104" localSheetId="0" hidden="1">1</definedName>
    <definedName name="solver_rhs105" localSheetId="0" hidden="1">1</definedName>
    <definedName name="solver_rhs106" localSheetId="0" hidden="1">1</definedName>
    <definedName name="solver_rhs107" localSheetId="0" hidden="1">1</definedName>
    <definedName name="solver_rhs108" localSheetId="0" hidden="1">1</definedName>
    <definedName name="solver_rhs109" localSheetId="0" hidden="1">'Nurser Rostering'!$F$9</definedName>
    <definedName name="solver_rhs11" localSheetId="0" hidden="1">'Nurser Rostering'!$E$33</definedName>
    <definedName name="solver_rhs11" localSheetId="1" hidden="1">'Rotation Assignment'!$F$36</definedName>
    <definedName name="solver_rhs110" localSheetId="0" hidden="1">'Nurser Rostering'!$G$9</definedName>
    <definedName name="solver_rhs111" localSheetId="0" hidden="1">'Nurser Rostering'!$H$9</definedName>
    <definedName name="solver_rhs112" localSheetId="0" hidden="1">'Nurser Rostering'!$I$9</definedName>
    <definedName name="solver_rhs113" localSheetId="0" hidden="1">'Nurser Rostering'!$J$9</definedName>
    <definedName name="solver_rhs114" localSheetId="0" hidden="1">'Nurser Rostering'!$L$9</definedName>
    <definedName name="solver_rhs115" localSheetId="0" hidden="1">'Nurser Rostering'!$M$9</definedName>
    <definedName name="solver_rhs116" localSheetId="0" hidden="1">'Nurser Rostering'!$N$9</definedName>
    <definedName name="solver_rhs117" localSheetId="0" hidden="1">'Nurser Rostering'!$O$9</definedName>
    <definedName name="solver_rhs118" localSheetId="0" hidden="1">'Nurser Rostering'!$P$9</definedName>
    <definedName name="solver_rhs119" localSheetId="0" hidden="1">'Nurser Rostering'!$Q$9</definedName>
    <definedName name="solver_rhs12" localSheetId="0" hidden="1">'Nurser Rostering'!$F$33</definedName>
    <definedName name="solver_rhs12" localSheetId="1" hidden="1">'Rotation Assignment'!$G$36</definedName>
    <definedName name="solver_rhs120" localSheetId="0" hidden="1">'Nurser Rostering'!$R$9</definedName>
    <definedName name="solver_rhs121" localSheetId="0" hidden="1">'Nurser Rostering'!$K$9</definedName>
    <definedName name="solver_rhs122" localSheetId="0" hidden="1">'Nurser Rostering'!$F$14</definedName>
    <definedName name="solver_rhs123" localSheetId="0" hidden="1">'Nurser Rostering'!$G$14</definedName>
    <definedName name="solver_rhs124" localSheetId="0" hidden="1">'Nurser Rostering'!$H$14</definedName>
    <definedName name="solver_rhs125" localSheetId="0" hidden="1">'Nurser Rostering'!$I$14</definedName>
    <definedName name="solver_rhs126" localSheetId="0" hidden="1">'Nurser Rostering'!$J$14</definedName>
    <definedName name="solver_rhs127" localSheetId="0" hidden="1">'Nurser Rostering'!$K$14</definedName>
    <definedName name="solver_rhs128" localSheetId="0" hidden="1">'Nurser Rostering'!$L$14</definedName>
    <definedName name="solver_rhs129" localSheetId="0" hidden="1">'Nurser Rostering'!$M$14</definedName>
    <definedName name="solver_rhs13" localSheetId="0" hidden="1">'Nurser Rostering'!$G$33</definedName>
    <definedName name="solver_rhs13" localSheetId="1" hidden="1">'Rotation Assignment'!$H$36</definedName>
    <definedName name="solver_rhs130" localSheetId="0" hidden="1">'Nurser Rostering'!$N$14</definedName>
    <definedName name="solver_rhs131" localSheetId="0" hidden="1">'Nurser Rostering'!$O$14</definedName>
    <definedName name="solver_rhs132" localSheetId="0" hidden="1">'Nurser Rostering'!$P$14</definedName>
    <definedName name="solver_rhs133" localSheetId="0" hidden="1">'Nurser Rostering'!$Q$14</definedName>
    <definedName name="solver_rhs134" localSheetId="0" hidden="1">'Nurser Rostering'!$R$14</definedName>
    <definedName name="solver_rhs135" localSheetId="0" hidden="1">'Nurser Rostering'!$F$19</definedName>
    <definedName name="solver_rhs136" localSheetId="0" hidden="1">'Nurser Rostering'!$G$19</definedName>
    <definedName name="solver_rhs137" localSheetId="0" hidden="1">'Nurser Rostering'!$H$19</definedName>
    <definedName name="solver_rhs138" localSheetId="0" hidden="1">'Nurser Rostering'!$I$19</definedName>
    <definedName name="solver_rhs139" localSheetId="0" hidden="1">'Nurser Rostering'!$J$19</definedName>
    <definedName name="solver_rhs14" localSheetId="0" hidden="1">'Nurser Rostering'!$H$33</definedName>
    <definedName name="solver_rhs14" localSheetId="1" hidden="1">'Rotation Assignment'!$I$36</definedName>
    <definedName name="solver_rhs140" localSheetId="0" hidden="1">'Nurser Rostering'!$K$19</definedName>
    <definedName name="solver_rhs141" localSheetId="0" hidden="1">'Nurser Rostering'!$L$19</definedName>
    <definedName name="solver_rhs142" localSheetId="0" hidden="1">'Nurser Rostering'!$M$19</definedName>
    <definedName name="solver_rhs143" localSheetId="0" hidden="1">'Nurser Rostering'!$N$19</definedName>
    <definedName name="solver_rhs144" localSheetId="0" hidden="1">'Nurser Rostering'!$O$19</definedName>
    <definedName name="solver_rhs145" localSheetId="0" hidden="1">'Nurser Rostering'!$P$19</definedName>
    <definedName name="solver_rhs146" localSheetId="0" hidden="1">'Nurser Rostering'!$Q$19</definedName>
    <definedName name="solver_rhs147" localSheetId="0" hidden="1">'Nurser Rostering'!$R$19</definedName>
    <definedName name="solver_rhs148" localSheetId="0" hidden="1">'Nurser Rostering'!$F$24</definedName>
    <definedName name="solver_rhs149" localSheetId="0" hidden="1">'Nurser Rostering'!$G$24</definedName>
    <definedName name="solver_rhs15" localSheetId="0" hidden="1">'Nurser Rostering'!$I$33</definedName>
    <definedName name="solver_rhs15" localSheetId="1" hidden="1">'Rotation Assignment'!$J$36</definedName>
    <definedName name="solver_rhs150" localSheetId="0" hidden="1">'Nurser Rostering'!$H$24</definedName>
    <definedName name="solver_rhs151" localSheetId="0" hidden="1">'Nurser Rostering'!$I$24</definedName>
    <definedName name="solver_rhs152" localSheetId="0" hidden="1">'Nurser Rostering'!$J$24</definedName>
    <definedName name="solver_rhs153" localSheetId="0" hidden="1">'Nurser Rostering'!$K$24</definedName>
    <definedName name="solver_rhs154" localSheetId="0" hidden="1">'Nurser Rostering'!$L$24</definedName>
    <definedName name="solver_rhs155" localSheetId="0" hidden="1">'Nurser Rostering'!$M$24</definedName>
    <definedName name="solver_rhs156" localSheetId="0" hidden="1">'Nurser Rostering'!$N$24</definedName>
    <definedName name="solver_rhs157" localSheetId="0" hidden="1">'Nurser Rostering'!$O$24</definedName>
    <definedName name="solver_rhs158" localSheetId="0" hidden="1">'Nurser Rostering'!$P$24</definedName>
    <definedName name="solver_rhs159" localSheetId="0" hidden="1">'Nurser Rostering'!$Q$24</definedName>
    <definedName name="solver_rhs16" localSheetId="0" hidden="1">'Nurser Rostering'!$J$33</definedName>
    <definedName name="solver_rhs16" localSheetId="1" hidden="1">'Rotation Assignment'!$K$36</definedName>
    <definedName name="solver_rhs160" localSheetId="0" hidden="1">'Nurser Rostering'!$R$24</definedName>
    <definedName name="solver_rhs161" localSheetId="0" hidden="1">'Nurser Rostering'!$F$29</definedName>
    <definedName name="solver_rhs162" localSheetId="0" hidden="1">'Nurser Rostering'!$G$29</definedName>
    <definedName name="solver_rhs163" localSheetId="0" hidden="1">'Nurser Rostering'!$H$29</definedName>
    <definedName name="solver_rhs164" localSheetId="0" hidden="1">'Nurser Rostering'!$I$29</definedName>
    <definedName name="solver_rhs165" localSheetId="0" hidden="1">'Nurser Rostering'!$J$29</definedName>
    <definedName name="solver_rhs166" localSheetId="0" hidden="1">'Nurser Rostering'!$K$29</definedName>
    <definedName name="solver_rhs167" localSheetId="0" hidden="1">'Nurser Rostering'!$L$29</definedName>
    <definedName name="solver_rhs168" localSheetId="0" hidden="1">'Nurser Rostering'!$M$29</definedName>
    <definedName name="solver_rhs169" localSheetId="0" hidden="1">'Nurser Rostering'!$N$29</definedName>
    <definedName name="solver_rhs17" localSheetId="0" hidden="1">'Nurser Rostering'!$K$33</definedName>
    <definedName name="solver_rhs17" localSheetId="1" hidden="1">'Rotation Assignment'!$L$36</definedName>
    <definedName name="solver_rhs170" localSheetId="0" hidden="1">'Nurser Rostering'!$O$29</definedName>
    <definedName name="solver_rhs171" localSheetId="0" hidden="1">'Nurser Rostering'!$P$29</definedName>
    <definedName name="solver_rhs172" localSheetId="0" hidden="1">'Nurser Rostering'!$Q$29</definedName>
    <definedName name="solver_rhs173" localSheetId="0" hidden="1">'Nurser Rostering'!$R$29</definedName>
    <definedName name="solver_rhs174" localSheetId="0" hidden="1">binary</definedName>
    <definedName name="solver_rhs175" localSheetId="0" hidden="1">binary</definedName>
    <definedName name="solver_rhs176" localSheetId="0" hidden="1">binary</definedName>
    <definedName name="solver_rhs177" localSheetId="0" hidden="1">binary</definedName>
    <definedName name="solver_rhs178" localSheetId="0" hidden="1">binary</definedName>
    <definedName name="solver_rhs179" localSheetId="0" hidden="1">1</definedName>
    <definedName name="solver_rhs18" localSheetId="0" hidden="1">'Nurser Rostering'!$L$33</definedName>
    <definedName name="solver_rhs18" localSheetId="1" hidden="1">'Rotation Assignment'!$M$36</definedName>
    <definedName name="solver_rhs180" localSheetId="0" hidden="1">1</definedName>
    <definedName name="solver_rhs181" localSheetId="0" hidden="1">1</definedName>
    <definedName name="solver_rhs182" localSheetId="0" hidden="1">1</definedName>
    <definedName name="solver_rhs183" localSheetId="0" hidden="1">1</definedName>
    <definedName name="solver_rhs184" localSheetId="0" hidden="1">1</definedName>
    <definedName name="solver_rhs185" localSheetId="0" hidden="1">1</definedName>
    <definedName name="solver_rhs186" localSheetId="0" hidden="1">1</definedName>
    <definedName name="solver_rhs187" localSheetId="0" hidden="1">1</definedName>
    <definedName name="solver_rhs188" localSheetId="0" hidden="1">1</definedName>
    <definedName name="solver_rhs189" localSheetId="0" hidden="1">1</definedName>
    <definedName name="solver_rhs19" localSheetId="0" hidden="1">'Nurser Rostering'!$M$33</definedName>
    <definedName name="solver_rhs19" localSheetId="1" hidden="1">'Rotation Assignment'!$N$36</definedName>
    <definedName name="solver_rhs190" localSheetId="0" hidden="1">1</definedName>
    <definedName name="solver_rhs191" localSheetId="0" hidden="1">1</definedName>
    <definedName name="solver_rhs192" localSheetId="0" hidden="1">1</definedName>
    <definedName name="solver_rhs2" localSheetId="0" hidden="1">'Nurser Rostering'!$W$8</definedName>
    <definedName name="solver_rhs2" localSheetId="1" hidden="1">'Rotation Assignment'!$G$34</definedName>
    <definedName name="solver_rhs20" localSheetId="0" hidden="1">'Nurser Rostering'!$N$33</definedName>
    <definedName name="solver_rhs20" localSheetId="1" hidden="1">'Rotation Assignment'!$O$36</definedName>
    <definedName name="solver_rhs21" localSheetId="0" hidden="1">'Nurser Rostering'!$O$33</definedName>
    <definedName name="solver_rhs21" localSheetId="1" hidden="1">'Rotation Assignment'!$O$36</definedName>
    <definedName name="solver_rhs22" localSheetId="0" hidden="1">'Nurser Rostering'!$P$33</definedName>
    <definedName name="solver_rhs22" localSheetId="1" hidden="1">1</definedName>
    <definedName name="solver_rhs23" localSheetId="0" hidden="1">'Nurser Rostering'!$Q$33</definedName>
    <definedName name="solver_rhs23" localSheetId="1" hidden="1">1</definedName>
    <definedName name="solver_rhs24" localSheetId="0" hidden="1">'Nurser Rostering'!$R$33</definedName>
    <definedName name="solver_rhs24" localSheetId="1" hidden="1">1</definedName>
    <definedName name="solver_rhs25" localSheetId="0" hidden="1">'Nurser Rostering'!$E$35</definedName>
    <definedName name="solver_rhs25" localSheetId="1" hidden="1">1</definedName>
    <definedName name="solver_rhs26" localSheetId="0" hidden="1">'Nurser Rostering'!$F$35</definedName>
    <definedName name="solver_rhs26" localSheetId="1" hidden="1">1</definedName>
    <definedName name="solver_rhs27" localSheetId="0" hidden="1">'Nurser Rostering'!$G$35</definedName>
    <definedName name="solver_rhs27" localSheetId="1" hidden="1">1</definedName>
    <definedName name="solver_rhs28" localSheetId="0" hidden="1">'Nurser Rostering'!$H$35</definedName>
    <definedName name="solver_rhs28" localSheetId="1" hidden="1">1</definedName>
    <definedName name="solver_rhs29" localSheetId="0" hidden="1">'Nurser Rostering'!$I$35</definedName>
    <definedName name="solver_rhs29" localSheetId="1" hidden="1">1</definedName>
    <definedName name="solver_rhs3" localSheetId="0" hidden="1">'Nurser Rostering'!$W$11</definedName>
    <definedName name="solver_rhs3" localSheetId="1" hidden="1">'Rotation Assignment'!$H$34</definedName>
    <definedName name="solver_rhs30" localSheetId="0" hidden="1">'Nurser Rostering'!$J$35</definedName>
    <definedName name="solver_rhs30" localSheetId="1" hidden="1">1</definedName>
    <definedName name="solver_rhs31" localSheetId="0" hidden="1">'Nurser Rostering'!$K$35</definedName>
    <definedName name="solver_rhs31" localSheetId="1" hidden="1">1</definedName>
    <definedName name="solver_rhs32" localSheetId="0" hidden="1">'Nurser Rostering'!$L$35</definedName>
    <definedName name="solver_rhs32" localSheetId="1" hidden="1">1</definedName>
    <definedName name="solver_rhs33" localSheetId="0" hidden="1">'Nurser Rostering'!$M$35</definedName>
    <definedName name="solver_rhs33" localSheetId="1" hidden="1">1</definedName>
    <definedName name="solver_rhs34" localSheetId="0" hidden="1">'Nurser Rostering'!$N$35</definedName>
    <definedName name="solver_rhs34" localSheetId="1" hidden="1">1</definedName>
    <definedName name="solver_rhs35" localSheetId="0" hidden="1">'Nurser Rostering'!$O$35</definedName>
    <definedName name="solver_rhs35" localSheetId="1" hidden="1">1</definedName>
    <definedName name="solver_rhs36" localSheetId="0" hidden="1">'Nurser Rostering'!$P$35</definedName>
    <definedName name="solver_rhs36" localSheetId="1" hidden="1">1</definedName>
    <definedName name="solver_rhs37" localSheetId="0" hidden="1">'Nurser Rostering'!$Q$35</definedName>
    <definedName name="solver_rhs37" localSheetId="1" hidden="1">1</definedName>
    <definedName name="solver_rhs38" localSheetId="0" hidden="1">'Nurser Rostering'!$R$35</definedName>
    <definedName name="solver_rhs38" localSheetId="1" hidden="1">1</definedName>
    <definedName name="solver_rhs39" localSheetId="0" hidden="1">'Nurser Rostering'!$E$37</definedName>
    <definedName name="solver_rhs39" localSheetId="1" hidden="1">1</definedName>
    <definedName name="solver_rhs4" localSheetId="0" hidden="1">'Nurser Rostering'!$W$13</definedName>
    <definedName name="solver_rhs4" localSheetId="1" hidden="1">'Rotation Assignment'!$I$34</definedName>
    <definedName name="solver_rhs40" localSheetId="0" hidden="1">'Nurser Rostering'!$F$37</definedName>
    <definedName name="solver_rhs40" localSheetId="1" hidden="1">1</definedName>
    <definedName name="solver_rhs41" localSheetId="0" hidden="1">'Nurser Rostering'!$G$37</definedName>
    <definedName name="solver_rhs41" localSheetId="1" hidden="1">1</definedName>
    <definedName name="solver_rhs42" localSheetId="0" hidden="1">'Nurser Rostering'!$H$37</definedName>
    <definedName name="solver_rhs42" localSheetId="1" hidden="1">1</definedName>
    <definedName name="solver_rhs43" localSheetId="0" hidden="1">'Nurser Rostering'!$I$37</definedName>
    <definedName name="solver_rhs43" localSheetId="1" hidden="1">1</definedName>
    <definedName name="solver_rhs44" localSheetId="0" hidden="1">'Nurser Rostering'!$J$37</definedName>
    <definedName name="solver_rhs44" localSheetId="1" hidden="1">1</definedName>
    <definedName name="solver_rhs45" localSheetId="0" hidden="1">'Nurser Rostering'!$K$37</definedName>
    <definedName name="solver_rhs45" localSheetId="1" hidden="1">1</definedName>
    <definedName name="solver_rhs46" localSheetId="0" hidden="1">'Nurser Rostering'!$L$37</definedName>
    <definedName name="solver_rhs46" localSheetId="1" hidden="1">1</definedName>
    <definedName name="solver_rhs47" localSheetId="0" hidden="1">'Nurser Rostering'!$M$37</definedName>
    <definedName name="solver_rhs47" localSheetId="1" hidden="1">1</definedName>
    <definedName name="solver_rhs48" localSheetId="0" hidden="1">'Nurser Rostering'!$N$37</definedName>
    <definedName name="solver_rhs48" localSheetId="1" hidden="1">1</definedName>
    <definedName name="solver_rhs49" localSheetId="0" hidden="1">'Nurser Rostering'!$O$37</definedName>
    <definedName name="solver_rhs49" localSheetId="1" hidden="1">1</definedName>
    <definedName name="solver_rhs5" localSheetId="0" hidden="1">'Nurser Rostering'!$W$16</definedName>
    <definedName name="solver_rhs5" localSheetId="1" hidden="1">'Rotation Assignment'!$J$34</definedName>
    <definedName name="solver_rhs50" localSheetId="0" hidden="1">'Nurser Rostering'!$P$37</definedName>
    <definedName name="solver_rhs50" localSheetId="1" hidden="1">1</definedName>
    <definedName name="solver_rhs51" localSheetId="0" hidden="1">'Nurser Rostering'!$Q$37</definedName>
    <definedName name="solver_rhs51" localSheetId="1" hidden="1">1</definedName>
    <definedName name="solver_rhs52" localSheetId="0" hidden="1">'Nurser Rostering'!$R$37</definedName>
    <definedName name="solver_rhs52" localSheetId="1" hidden="1">'Rotation Assignment'!$F$6</definedName>
    <definedName name="solver_rhs53" localSheetId="0" hidden="1">1</definedName>
    <definedName name="solver_rhs53" localSheetId="1" hidden="1">'Rotation Assignment'!$F$7</definedName>
    <definedName name="solver_rhs54" localSheetId="0" hidden="1">1</definedName>
    <definedName name="solver_rhs54" localSheetId="1" hidden="1">'Rotation Assignment'!$F$9</definedName>
    <definedName name="solver_rhs55" localSheetId="0" hidden="1">1</definedName>
    <definedName name="solver_rhs55" localSheetId="1" hidden="1">'Rotation Assignment'!$F$10</definedName>
    <definedName name="solver_rhs56" localSheetId="0" hidden="1">1</definedName>
    <definedName name="solver_rhs56" localSheetId="1" hidden="1">'Rotation Assignment'!$F$12</definedName>
    <definedName name="solver_rhs57" localSheetId="0" hidden="1">1</definedName>
    <definedName name="solver_rhs57" localSheetId="1" hidden="1">'Rotation Assignment'!$F$13</definedName>
    <definedName name="solver_rhs58" localSheetId="0" hidden="1">1</definedName>
    <definedName name="solver_rhs58" localSheetId="1" hidden="1">'Rotation Assignment'!$R$6</definedName>
    <definedName name="solver_rhs59" localSheetId="0" hidden="1">1</definedName>
    <definedName name="solver_rhs59" localSheetId="1" hidden="1">'Rotation Assignment'!$S$6</definedName>
    <definedName name="solver_rhs6" localSheetId="0" hidden="1">'Nurser Rostering'!$W$18</definedName>
    <definedName name="solver_rhs6" localSheetId="1" hidden="1">'Rotation Assignment'!$K$34</definedName>
    <definedName name="solver_rhs60" localSheetId="0" hidden="1">1</definedName>
    <definedName name="solver_rhs60" localSheetId="1" hidden="1">'Rotation Assignment'!$R$7</definedName>
    <definedName name="solver_rhs61" localSheetId="0" hidden="1">1</definedName>
    <definedName name="solver_rhs61" localSheetId="1" hidden="1">'Rotation Assignment'!$S$7</definedName>
    <definedName name="solver_rhs62" localSheetId="0" hidden="1">1</definedName>
    <definedName name="solver_rhs62" localSheetId="1" hidden="1">'Rotation Assignment'!$R$9</definedName>
    <definedName name="solver_rhs63" localSheetId="0" hidden="1">1</definedName>
    <definedName name="solver_rhs63" localSheetId="1" hidden="1">'Rotation Assignment'!$S$9</definedName>
    <definedName name="solver_rhs64" localSheetId="0" hidden="1">1</definedName>
    <definedName name="solver_rhs64" localSheetId="1" hidden="1">'Rotation Assignment'!$R$10</definedName>
    <definedName name="solver_rhs65" localSheetId="0" hidden="1">1</definedName>
    <definedName name="solver_rhs65" localSheetId="1" hidden="1">'Rotation Assignment'!$S$10</definedName>
    <definedName name="solver_rhs66" localSheetId="0" hidden="1">1</definedName>
    <definedName name="solver_rhs66" localSheetId="1" hidden="1">'Rotation Assignment'!$R$12</definedName>
    <definedName name="solver_rhs67" localSheetId="0" hidden="1">1</definedName>
    <definedName name="solver_rhs67" localSheetId="1" hidden="1">'Rotation Assignment'!$S$12</definedName>
    <definedName name="solver_rhs68" localSheetId="0" hidden="1">1</definedName>
    <definedName name="solver_rhs68" localSheetId="1" hidden="1">'Rotation Assignment'!$R$13</definedName>
    <definedName name="solver_rhs69" localSheetId="0" hidden="1">1</definedName>
    <definedName name="solver_rhs69" localSheetId="1" hidden="1">'Rotation Assignment'!$S$13</definedName>
    <definedName name="solver_rhs7" localSheetId="0" hidden="1">'Nurser Rostering'!$W$21</definedName>
    <definedName name="solver_rhs7" localSheetId="1" hidden="1">'Rotation Assignment'!$L$34</definedName>
    <definedName name="solver_rhs70" localSheetId="0" hidden="1">1</definedName>
    <definedName name="solver_rhs70" localSheetId="1" hidden="1">binary</definedName>
    <definedName name="solver_rhs71" localSheetId="0" hidden="1">1</definedName>
    <definedName name="solver_rhs71" localSheetId="1" hidden="1">binary</definedName>
    <definedName name="solver_rhs72" localSheetId="0" hidden="1">1</definedName>
    <definedName name="solver_rhs72" localSheetId="1" hidden="1">binary</definedName>
    <definedName name="solver_rhs73" localSheetId="0" hidden="1">1</definedName>
    <definedName name="solver_rhs73" localSheetId="1" hidden="1">binary</definedName>
    <definedName name="solver_rhs74" localSheetId="0" hidden="1">1</definedName>
    <definedName name="solver_rhs74" localSheetId="1" hidden="1">binary</definedName>
    <definedName name="solver_rhs75" localSheetId="0" hidden="1">1</definedName>
    <definedName name="solver_rhs75" localSheetId="1" hidden="1">binary</definedName>
    <definedName name="solver_rhs76" localSheetId="0" hidden="1">1</definedName>
    <definedName name="solver_rhs76" localSheetId="1" hidden="1">binary</definedName>
    <definedName name="solver_rhs77" localSheetId="0" hidden="1">1</definedName>
    <definedName name="solver_rhs77" localSheetId="1" hidden="1">binary</definedName>
    <definedName name="solver_rhs78" localSheetId="0" hidden="1">1</definedName>
    <definedName name="solver_rhs78" localSheetId="1" hidden="1">binary</definedName>
    <definedName name="solver_rhs79" localSheetId="0" hidden="1">1</definedName>
    <definedName name="solver_rhs79" localSheetId="1" hidden="1">1</definedName>
    <definedName name="solver_rhs8" localSheetId="0" hidden="1">'Nurser Rostering'!$W$23</definedName>
    <definedName name="solver_rhs8" localSheetId="1" hidden="1">'Rotation Assignment'!$M$34</definedName>
    <definedName name="solver_rhs80" localSheetId="0" hidden="1">1</definedName>
    <definedName name="solver_rhs80" localSheetId="1" hidden="1">1</definedName>
    <definedName name="solver_rhs81" localSheetId="0" hidden="1">1</definedName>
    <definedName name="solver_rhs81" localSheetId="1" hidden="1">1</definedName>
    <definedName name="solver_rhs82" localSheetId="0" hidden="1">1</definedName>
    <definedName name="solver_rhs82" localSheetId="1" hidden="1">1</definedName>
    <definedName name="solver_rhs83" localSheetId="0" hidden="1">1</definedName>
    <definedName name="solver_rhs83" localSheetId="1" hidden="1">1</definedName>
    <definedName name="solver_rhs84" localSheetId="0" hidden="1">1</definedName>
    <definedName name="solver_rhs84" localSheetId="1" hidden="1">1</definedName>
    <definedName name="solver_rhs85" localSheetId="0" hidden="1">1</definedName>
    <definedName name="solver_rhs85" localSheetId="1" hidden="1">'Rotation Assignment'!$G$16</definedName>
    <definedName name="solver_rhs86" localSheetId="0" hidden="1">1</definedName>
    <definedName name="solver_rhs86" localSheetId="1" hidden="1">'Rotation Assignment'!$H$16</definedName>
    <definedName name="solver_rhs87" localSheetId="0" hidden="1">1</definedName>
    <definedName name="solver_rhs87" localSheetId="1" hidden="1">'Rotation Assignment'!$I$16</definedName>
    <definedName name="solver_rhs88" localSheetId="0" hidden="1">1</definedName>
    <definedName name="solver_rhs88" localSheetId="1" hidden="1">'Rotation Assignment'!$J$16</definedName>
    <definedName name="solver_rhs89" localSheetId="0" hidden="1">1</definedName>
    <definedName name="solver_rhs89" localSheetId="1" hidden="1">'Rotation Assignment'!$K$16</definedName>
    <definedName name="solver_rhs9" localSheetId="0" hidden="1">'Nurser Rostering'!$W$26</definedName>
    <definedName name="solver_rhs9" localSheetId="1" hidden="1">'Rotation Assignment'!$N$34</definedName>
    <definedName name="solver_rhs90" localSheetId="0" hidden="1">1</definedName>
    <definedName name="solver_rhs90" localSheetId="1" hidden="1">'Rotation Assignment'!$L$16</definedName>
    <definedName name="solver_rhs91" localSheetId="0" hidden="1">1</definedName>
    <definedName name="solver_rhs91" localSheetId="1" hidden="1">'Rotation Assignment'!$M$16</definedName>
    <definedName name="solver_rhs92" localSheetId="0" hidden="1">1</definedName>
    <definedName name="solver_rhs92" localSheetId="1" hidden="1">'Rotation Assignment'!$N$16</definedName>
    <definedName name="solver_rhs93" localSheetId="0" hidden="1">1</definedName>
    <definedName name="solver_rhs93" localSheetId="1" hidden="1">'Rotation Assignment'!$O$16</definedName>
    <definedName name="solver_rhs94" localSheetId="0" hidden="1">1</definedName>
    <definedName name="solver_rhs94" localSheetId="1" hidden="1">'Rotation Assignment'!$G$18:$O$18</definedName>
    <definedName name="solver_rhs95" localSheetId="0" hidden="1">1</definedName>
    <definedName name="solver_rhs95" localSheetId="1" hidden="1">'Rotation Assignment'!$G$20:$O$20</definedName>
    <definedName name="solver_rhs96" localSheetId="0" hidden="1">1</definedName>
    <definedName name="solver_rhs96" localSheetId="1" hidden="1">'Rotation Assignment'!$G$22:$O$22</definedName>
    <definedName name="solver_rhs97" localSheetId="0" hidden="1">1</definedName>
    <definedName name="solver_rhs97" localSheetId="1" hidden="1">'Rotation Assignment'!$G$24:$O$24</definedName>
    <definedName name="solver_rhs98" localSheetId="0" hidden="1">1</definedName>
    <definedName name="solver_rhs98" localSheetId="1" hidden="1">'Rotation Assignment'!$G$26:$O$26</definedName>
    <definedName name="solver_rhs99" localSheetId="0" hidden="1">1</definedName>
    <definedName name="solver_rlx" localSheetId="0" hidden="1">2</definedName>
    <definedName name="solver_rlx" localSheetId="1" hidden="1">2</definedName>
    <definedName name="solver_scl" localSheetId="0" hidden="1">2</definedName>
    <definedName name="solver_scl" localSheetId="1" hidden="1">2</definedName>
    <definedName name="solver_sho" localSheetId="0" hidden="1">0</definedName>
    <definedName name="solver_sho" localSheetId="1" hidden="1">0</definedName>
    <definedName name="solver_tim" localSheetId="0" hidden="1">2147483647</definedName>
    <definedName name="solver_tim" localSheetId="1" hidden="1">2147483647</definedName>
    <definedName name="solver_tol" localSheetId="0" hidden="1">0.05</definedName>
    <definedName name="solver_tol" localSheetId="1" hidden="1">0.05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3" l="1"/>
  <c r="G41" i="3"/>
  <c r="H41" i="3"/>
  <c r="I41" i="3"/>
  <c r="J41" i="3"/>
  <c r="K41" i="3"/>
  <c r="L41" i="3"/>
  <c r="M41" i="3"/>
  <c r="N41" i="3"/>
  <c r="O41" i="3"/>
  <c r="F41" i="3"/>
  <c r="G40" i="3"/>
  <c r="H40" i="3"/>
  <c r="I40" i="3"/>
  <c r="J40" i="3"/>
  <c r="K40" i="3"/>
  <c r="L40" i="3"/>
  <c r="M40" i="3"/>
  <c r="N40" i="3"/>
  <c r="O40" i="3"/>
  <c r="F40" i="3"/>
  <c r="G39" i="3"/>
  <c r="H39" i="3"/>
  <c r="I39" i="3"/>
  <c r="J39" i="3"/>
  <c r="K39" i="3"/>
  <c r="L39" i="3"/>
  <c r="M39" i="3"/>
  <c r="N39" i="3"/>
  <c r="O39" i="3"/>
  <c r="F39" i="3"/>
  <c r="G16" i="3"/>
  <c r="P27" i="3"/>
  <c r="P25" i="3"/>
  <c r="P23" i="3"/>
  <c r="P21" i="3"/>
  <c r="P19" i="3"/>
  <c r="P17" i="3"/>
  <c r="G14" i="3"/>
  <c r="H14" i="3"/>
  <c r="I14" i="3"/>
  <c r="J14" i="3"/>
  <c r="K14" i="3"/>
  <c r="L14" i="3"/>
  <c r="M14" i="3"/>
  <c r="N14" i="3"/>
  <c r="O14" i="3"/>
  <c r="F14" i="3"/>
  <c r="G11" i="3"/>
  <c r="H11" i="3"/>
  <c r="I11" i="3"/>
  <c r="J11" i="3"/>
  <c r="K11" i="3"/>
  <c r="L11" i="3"/>
  <c r="M11" i="3"/>
  <c r="N11" i="3"/>
  <c r="O11" i="3"/>
  <c r="F11" i="3"/>
  <c r="G8" i="3"/>
  <c r="H8" i="3"/>
  <c r="I8" i="3"/>
  <c r="J8" i="3"/>
  <c r="K8" i="3"/>
  <c r="L8" i="3"/>
  <c r="M8" i="3"/>
  <c r="N8" i="3"/>
  <c r="O8" i="3"/>
  <c r="F8" i="3"/>
  <c r="R17" i="3"/>
  <c r="H26" i="3"/>
  <c r="I26" i="3"/>
  <c r="J26" i="3"/>
  <c r="K26" i="3"/>
  <c r="L26" i="3"/>
  <c r="M26" i="3"/>
  <c r="N26" i="3"/>
  <c r="O26" i="3"/>
  <c r="G26" i="3"/>
  <c r="H24" i="3"/>
  <c r="I24" i="3"/>
  <c r="J24" i="3"/>
  <c r="K24" i="3"/>
  <c r="L24" i="3"/>
  <c r="M24" i="3"/>
  <c r="N24" i="3"/>
  <c r="O24" i="3"/>
  <c r="G24" i="3"/>
  <c r="H22" i="3"/>
  <c r="I22" i="3"/>
  <c r="J22" i="3"/>
  <c r="K22" i="3"/>
  <c r="L22" i="3"/>
  <c r="M22" i="3"/>
  <c r="N22" i="3"/>
  <c r="O22" i="3"/>
  <c r="G22" i="3"/>
  <c r="O20" i="3"/>
  <c r="N20" i="3"/>
  <c r="M20" i="3"/>
  <c r="L20" i="3"/>
  <c r="K20" i="3"/>
  <c r="J20" i="3"/>
  <c r="I20" i="3"/>
  <c r="H20" i="3"/>
  <c r="G20" i="3"/>
  <c r="H18" i="3"/>
  <c r="I18" i="3"/>
  <c r="J18" i="3"/>
  <c r="K18" i="3"/>
  <c r="L18" i="3"/>
  <c r="M18" i="3"/>
  <c r="N18" i="3"/>
  <c r="O18" i="3"/>
  <c r="G18" i="3"/>
  <c r="H16" i="3"/>
  <c r="I16" i="3"/>
  <c r="J16" i="3"/>
  <c r="K16" i="3"/>
  <c r="L16" i="3"/>
  <c r="M16" i="3"/>
  <c r="N16" i="3"/>
  <c r="O16" i="3"/>
  <c r="P12" i="3" l="1"/>
  <c r="G35" i="3"/>
  <c r="H35" i="3"/>
  <c r="I35" i="3"/>
  <c r="J35" i="3"/>
  <c r="K35" i="3"/>
  <c r="L35" i="3"/>
  <c r="M35" i="3"/>
  <c r="N35" i="3"/>
  <c r="O35" i="3"/>
  <c r="F35" i="3"/>
  <c r="G33" i="3"/>
  <c r="H33" i="3"/>
  <c r="I33" i="3"/>
  <c r="J33" i="3"/>
  <c r="K33" i="3"/>
  <c r="L33" i="3"/>
  <c r="M33" i="3"/>
  <c r="N33" i="3"/>
  <c r="O33" i="3"/>
  <c r="F33" i="3"/>
  <c r="P7" i="3"/>
  <c r="P9" i="3"/>
  <c r="P10" i="3"/>
  <c r="P13" i="3"/>
  <c r="F42" i="2" l="1"/>
  <c r="G42" i="2"/>
  <c r="H42" i="2"/>
  <c r="I42" i="2"/>
  <c r="J42" i="2"/>
  <c r="K42" i="2"/>
  <c r="L42" i="2"/>
  <c r="M42" i="2"/>
  <c r="N42" i="2"/>
  <c r="O42" i="2"/>
  <c r="P42" i="2"/>
  <c r="Q42" i="2"/>
  <c r="R42" i="2"/>
  <c r="F40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E43" i="2"/>
  <c r="E3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E44" i="2"/>
  <c r="E42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E41" i="2"/>
  <c r="G40" i="2"/>
  <c r="H40" i="2"/>
  <c r="I40" i="2"/>
  <c r="J40" i="2"/>
  <c r="K40" i="2"/>
  <c r="L40" i="2"/>
  <c r="M40" i="2"/>
  <c r="N40" i="2"/>
  <c r="O40" i="2"/>
  <c r="P40" i="2"/>
  <c r="Q40" i="2"/>
  <c r="R40" i="2"/>
  <c r="E40" i="2"/>
  <c r="P34" i="2" l="1"/>
  <c r="Q34" i="2"/>
  <c r="R34" i="2"/>
  <c r="O34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E36" i="2"/>
  <c r="F34" i="2"/>
  <c r="G34" i="2"/>
  <c r="H34" i="2"/>
  <c r="I34" i="2"/>
  <c r="J34" i="2"/>
  <c r="K34" i="2"/>
  <c r="L34" i="2"/>
  <c r="M34" i="2"/>
  <c r="N34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E32" i="2"/>
  <c r="U33" i="2"/>
  <c r="J30" i="2" l="1"/>
  <c r="R30" i="2"/>
  <c r="Q30" i="2"/>
  <c r="P30" i="2"/>
  <c r="O30" i="2"/>
  <c r="N30" i="2"/>
  <c r="M30" i="2"/>
  <c r="L30" i="2"/>
  <c r="K30" i="2"/>
  <c r="I30" i="2"/>
  <c r="H30" i="2"/>
  <c r="G30" i="2"/>
  <c r="F30" i="2"/>
  <c r="E30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E10" i="2"/>
  <c r="T6" i="2" l="1"/>
  <c r="V6" i="2" s="1"/>
  <c r="T8" i="2"/>
  <c r="T23" i="2" l="1"/>
  <c r="V23" i="2" s="1"/>
  <c r="T21" i="2"/>
  <c r="V21" i="2" s="1"/>
  <c r="T18" i="2"/>
  <c r="V18" i="2" s="1"/>
  <c r="T16" i="2"/>
  <c r="V16" i="2" s="1"/>
  <c r="T11" i="2"/>
  <c r="V11" i="2" s="1"/>
  <c r="T26" i="2"/>
  <c r="V26" i="2" s="1"/>
  <c r="V8" i="2"/>
  <c r="T28" i="2"/>
  <c r="V28" i="2" s="1"/>
  <c r="T13" i="2"/>
  <c r="V13" i="2" s="1"/>
</calcChain>
</file>

<file path=xl/sharedStrings.xml><?xml version="1.0" encoding="utf-8"?>
<sst xmlns="http://schemas.openxmlformats.org/spreadsheetml/2006/main" count="109" uniqueCount="67">
  <si>
    <t>j2</t>
  </si>
  <si>
    <t>j3</t>
  </si>
  <si>
    <t>j4</t>
  </si>
  <si>
    <t>j5</t>
  </si>
  <si>
    <t>j6</t>
  </si>
  <si>
    <t>j7</t>
  </si>
  <si>
    <t>j8</t>
  </si>
  <si>
    <t>j9</t>
  </si>
  <si>
    <t>j10</t>
  </si>
  <si>
    <t>i3</t>
  </si>
  <si>
    <t>i4</t>
  </si>
  <si>
    <t>i5</t>
  </si>
  <si>
    <t>Mon</t>
    <phoneticPr fontId="1" type="noConversion"/>
  </si>
  <si>
    <t>Tue</t>
    <phoneticPr fontId="1" type="noConversion"/>
  </si>
  <si>
    <t>Wed</t>
    <phoneticPr fontId="1" type="noConversion"/>
  </si>
  <si>
    <t>Thur</t>
    <phoneticPr fontId="1" type="noConversion"/>
  </si>
  <si>
    <t>Fri</t>
    <phoneticPr fontId="1" type="noConversion"/>
  </si>
  <si>
    <t>Sat</t>
    <phoneticPr fontId="1" type="noConversion"/>
  </si>
  <si>
    <t>Sun</t>
    <phoneticPr fontId="1" type="noConversion"/>
  </si>
  <si>
    <t>i1</t>
    <phoneticPr fontId="1" type="noConversion"/>
  </si>
  <si>
    <t>i2</t>
  </si>
  <si>
    <t>Xijk</t>
    <phoneticPr fontId="1" type="noConversion"/>
  </si>
  <si>
    <t>Objective function</t>
    <phoneticPr fontId="1" type="noConversion"/>
  </si>
  <si>
    <t>ti</t>
    <phoneticPr fontId="1" type="noConversion"/>
  </si>
  <si>
    <t>si</t>
    <phoneticPr fontId="1" type="noConversion"/>
  </si>
  <si>
    <t>sum(k)</t>
    <phoneticPr fontId="1" type="noConversion"/>
  </si>
  <si>
    <t>sum(w.)</t>
    <phoneticPr fontId="1" type="noConversion"/>
  </si>
  <si>
    <t>sum(n.)</t>
    <phoneticPr fontId="1" type="noConversion"/>
  </si>
  <si>
    <t>sum(w.)-si</t>
    <phoneticPr fontId="1" type="noConversion"/>
  </si>
  <si>
    <t>sum(n.)-ti</t>
    <phoneticPr fontId="1" type="noConversion"/>
  </si>
  <si>
    <t>j1</t>
    <phoneticPr fontId="1" type="noConversion"/>
  </si>
  <si>
    <t>i1</t>
    <phoneticPr fontId="1" type="noConversion"/>
  </si>
  <si>
    <t>k1</t>
    <phoneticPr fontId="1" type="noConversion"/>
  </si>
  <si>
    <t>k2</t>
    <phoneticPr fontId="1" type="noConversion"/>
  </si>
  <si>
    <t>i2</t>
    <phoneticPr fontId="1" type="noConversion"/>
  </si>
  <si>
    <t>i3</t>
    <phoneticPr fontId="1" type="noConversion"/>
  </si>
  <si>
    <t>j=1</t>
    <phoneticPr fontId="1" type="noConversion"/>
  </si>
  <si>
    <t>k=1</t>
    <phoneticPr fontId="1" type="noConversion"/>
  </si>
  <si>
    <t>i=1</t>
    <phoneticPr fontId="1" type="noConversion"/>
  </si>
  <si>
    <t>sum(k)</t>
    <phoneticPr fontId="1" type="noConversion"/>
  </si>
  <si>
    <t>lb</t>
    <phoneticPr fontId="1" type="noConversion"/>
  </si>
  <si>
    <t>ub</t>
    <phoneticPr fontId="1" type="noConversion"/>
  </si>
  <si>
    <t>xj-x(j-1)</t>
    <phoneticPr fontId="1" type="noConversion"/>
  </si>
  <si>
    <t>i1</t>
    <phoneticPr fontId="1" type="noConversion"/>
  </si>
  <si>
    <t>i3</t>
    <phoneticPr fontId="1" type="noConversion"/>
  </si>
  <si>
    <t>sum(j)</t>
    <phoneticPr fontId="1" type="noConversion"/>
  </si>
  <si>
    <t xml:space="preserve">Decision variable </t>
    <phoneticPr fontId="1" type="noConversion"/>
  </si>
  <si>
    <t>Coverage requirment</t>
    <phoneticPr fontId="1" type="noConversion"/>
  </si>
  <si>
    <t>Solution show</t>
    <phoneticPr fontId="1" type="noConversion"/>
  </si>
  <si>
    <t>Decision variables</t>
    <phoneticPr fontId="1" type="noConversion"/>
  </si>
  <si>
    <t>Preference</t>
    <phoneticPr fontId="1" type="noConversion"/>
  </si>
  <si>
    <t>x_ijk</t>
    <phoneticPr fontId="1" type="noConversion"/>
  </si>
  <si>
    <t>y_ijk</t>
    <phoneticPr fontId="1" type="noConversion"/>
  </si>
  <si>
    <t>sum(j)</t>
    <phoneticPr fontId="1" type="noConversion"/>
  </si>
  <si>
    <t>Obj</t>
    <phoneticPr fontId="1" type="noConversion"/>
  </si>
  <si>
    <t>w. ub</t>
    <phoneticPr fontId="1" type="noConversion"/>
  </si>
  <si>
    <t>n. ub</t>
    <phoneticPr fontId="1" type="noConversion"/>
  </si>
  <si>
    <t>k=1 (D)</t>
    <phoneticPr fontId="1" type="noConversion"/>
  </si>
  <si>
    <t>k=2 (L)</t>
    <phoneticPr fontId="1" type="noConversion"/>
  </si>
  <si>
    <t>k=3 (N)</t>
    <phoneticPr fontId="1" type="noConversion"/>
  </si>
  <si>
    <t>req.</t>
    <phoneticPr fontId="1" type="noConversion"/>
  </si>
  <si>
    <t>sum(i)</t>
    <phoneticPr fontId="1" type="noConversion"/>
  </si>
  <si>
    <t>i=2</t>
    <phoneticPr fontId="1" type="noConversion"/>
  </si>
  <si>
    <t>i=3</t>
    <phoneticPr fontId="1" type="noConversion"/>
  </si>
  <si>
    <t>i=4</t>
    <phoneticPr fontId="1" type="noConversion"/>
  </si>
  <si>
    <t>i=5</t>
    <phoneticPr fontId="1" type="noConversion"/>
  </si>
  <si>
    <t>Maximum of working and night shift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</si>
</sst>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9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0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Border="1"/>
    <xf numFmtId="0" fontId="3" fillId="0" borderId="1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16" xfId="0" applyFill="1" applyBorder="1"/>
    <xf numFmtId="0" fontId="0" fillId="2" borderId="16" xfId="0" applyFill="1" applyBorder="1"/>
    <xf numFmtId="0" fontId="0" fillId="2" borderId="17" xfId="0" applyFill="1" applyBorder="1"/>
    <xf numFmtId="0" fontId="0" fillId="0" borderId="2" xfId="0" applyBorder="1"/>
    <xf numFmtId="0" fontId="0" fillId="0" borderId="9" xfId="0" applyBorder="1"/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0" fontId="0" fillId="0" borderId="13" xfId="0" applyBorder="1"/>
    <xf numFmtId="0" fontId="0" fillId="2" borderId="2" xfId="0" applyFill="1" applyBorder="1"/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/>
    <xf numFmtId="0" fontId="4" fillId="0" borderId="0" xfId="0" applyFont="1" applyAlignment="1">
      <alignment horizontal="center" wrapText="1"/>
    </xf>
    <xf numFmtId="0" fontId="4" fillId="0" borderId="12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18</xdr:col>
      <xdr:colOff>0</xdr:colOff>
      <xdr:row>9</xdr:row>
      <xdr:rowOff>0</xdr:rowOff>
    </xdr:to>
    <xdr:sp macro="" textlink="">
      <xdr:nvSpPr>
        <xdr:cNvPr id="567" name="OpenSolver1"/>
        <xdr:cNvSpPr/>
      </xdr:nvSpPr>
      <xdr:spPr>
        <a:xfrm>
          <a:off x="2362200" y="863600"/>
          <a:ext cx="7023100" cy="6604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18</xdr:col>
      <xdr:colOff>0</xdr:colOff>
      <xdr:row>14</xdr:row>
      <xdr:rowOff>0</xdr:rowOff>
    </xdr:to>
    <xdr:sp macro="" textlink="">
      <xdr:nvSpPr>
        <xdr:cNvPr id="568" name="OpenSolver2"/>
        <xdr:cNvSpPr/>
      </xdr:nvSpPr>
      <xdr:spPr>
        <a:xfrm>
          <a:off x="2362200" y="1689100"/>
          <a:ext cx="7023100" cy="6604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18</xdr:col>
      <xdr:colOff>0</xdr:colOff>
      <xdr:row>19</xdr:row>
      <xdr:rowOff>0</xdr:rowOff>
    </xdr:to>
    <xdr:sp macro="" textlink="">
      <xdr:nvSpPr>
        <xdr:cNvPr id="569" name="OpenSolver3"/>
        <xdr:cNvSpPr/>
      </xdr:nvSpPr>
      <xdr:spPr>
        <a:xfrm>
          <a:off x="2362200" y="2514600"/>
          <a:ext cx="7023100" cy="6604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570" name="OpenSolver4"/>
        <xdr:cNvSpPr/>
      </xdr:nvSpPr>
      <xdr:spPr>
        <a:xfrm>
          <a:off x="2362200" y="3340100"/>
          <a:ext cx="7023100" cy="6604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18</xdr:col>
      <xdr:colOff>0</xdr:colOff>
      <xdr:row>29</xdr:row>
      <xdr:rowOff>0</xdr:rowOff>
    </xdr:to>
    <xdr:sp macro="" textlink="">
      <xdr:nvSpPr>
        <xdr:cNvPr id="571" name="OpenSolver5"/>
        <xdr:cNvSpPr/>
      </xdr:nvSpPr>
      <xdr:spPr>
        <a:xfrm>
          <a:off x="2362200" y="4165600"/>
          <a:ext cx="7023100" cy="6604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72" name="OpenSolver6"/>
        <xdr:cNvSpPr/>
      </xdr:nvSpPr>
      <xdr:spPr>
        <a:xfrm>
          <a:off x="10166350" y="8636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7</xdr:row>
      <xdr:rowOff>0</xdr:rowOff>
    </xdr:from>
    <xdr:to>
      <xdr:col>21</xdr:col>
      <xdr:colOff>0</xdr:colOff>
      <xdr:row>8</xdr:row>
      <xdr:rowOff>0</xdr:rowOff>
    </xdr:to>
    <xdr:sp macro="" textlink="">
      <xdr:nvSpPr>
        <xdr:cNvPr id="573" name="OpenSolver7"/>
        <xdr:cNvSpPr/>
      </xdr:nvSpPr>
      <xdr:spPr>
        <a:xfrm>
          <a:off x="10166350" y="11938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10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574" name="OpenSolver8"/>
        <xdr:cNvSpPr/>
      </xdr:nvSpPr>
      <xdr:spPr>
        <a:xfrm>
          <a:off x="10166350" y="16891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12</xdr:row>
      <xdr:rowOff>0</xdr:rowOff>
    </xdr:from>
    <xdr:to>
      <xdr:col>21</xdr:col>
      <xdr:colOff>0</xdr:colOff>
      <xdr:row>13</xdr:row>
      <xdr:rowOff>0</xdr:rowOff>
    </xdr:to>
    <xdr:sp macro="" textlink="">
      <xdr:nvSpPr>
        <xdr:cNvPr id="575" name="OpenSolver9"/>
        <xdr:cNvSpPr/>
      </xdr:nvSpPr>
      <xdr:spPr>
        <a:xfrm>
          <a:off x="10166350" y="20193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15</xdr:row>
      <xdr:rowOff>0</xdr:rowOff>
    </xdr:from>
    <xdr:to>
      <xdr:col>21</xdr:col>
      <xdr:colOff>0</xdr:colOff>
      <xdr:row>16</xdr:row>
      <xdr:rowOff>0</xdr:rowOff>
    </xdr:to>
    <xdr:sp macro="" textlink="">
      <xdr:nvSpPr>
        <xdr:cNvPr id="576" name="OpenSolver10"/>
        <xdr:cNvSpPr/>
      </xdr:nvSpPr>
      <xdr:spPr>
        <a:xfrm>
          <a:off x="10166350" y="25146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17</xdr:row>
      <xdr:rowOff>0</xdr:rowOff>
    </xdr:from>
    <xdr:to>
      <xdr:col>21</xdr:col>
      <xdr:colOff>0</xdr:colOff>
      <xdr:row>18</xdr:row>
      <xdr:rowOff>0</xdr:rowOff>
    </xdr:to>
    <xdr:sp macro="" textlink="">
      <xdr:nvSpPr>
        <xdr:cNvPr id="577" name="OpenSolver11"/>
        <xdr:cNvSpPr/>
      </xdr:nvSpPr>
      <xdr:spPr>
        <a:xfrm>
          <a:off x="10166350" y="28448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578" name="OpenSolver12"/>
        <xdr:cNvSpPr/>
      </xdr:nvSpPr>
      <xdr:spPr>
        <a:xfrm>
          <a:off x="10166350" y="33401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22</xdr:row>
      <xdr:rowOff>0</xdr:rowOff>
    </xdr:from>
    <xdr:to>
      <xdr:col>21</xdr:col>
      <xdr:colOff>0</xdr:colOff>
      <xdr:row>23</xdr:row>
      <xdr:rowOff>0</xdr:rowOff>
    </xdr:to>
    <xdr:sp macro="" textlink="">
      <xdr:nvSpPr>
        <xdr:cNvPr id="579" name="OpenSolver13"/>
        <xdr:cNvSpPr/>
      </xdr:nvSpPr>
      <xdr:spPr>
        <a:xfrm>
          <a:off x="10166350" y="36703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25</xdr:row>
      <xdr:rowOff>0</xdr:rowOff>
    </xdr:from>
    <xdr:to>
      <xdr:col>21</xdr:col>
      <xdr:colOff>0</xdr:colOff>
      <xdr:row>26</xdr:row>
      <xdr:rowOff>0</xdr:rowOff>
    </xdr:to>
    <xdr:sp macro="" textlink="">
      <xdr:nvSpPr>
        <xdr:cNvPr id="580" name="OpenSolver14"/>
        <xdr:cNvSpPr/>
      </xdr:nvSpPr>
      <xdr:spPr>
        <a:xfrm>
          <a:off x="10166350" y="41656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27</xdr:row>
      <xdr:rowOff>0</xdr:rowOff>
    </xdr:from>
    <xdr:to>
      <xdr:col>21</xdr:col>
      <xdr:colOff>0</xdr:colOff>
      <xdr:row>28</xdr:row>
      <xdr:rowOff>0</xdr:rowOff>
    </xdr:to>
    <xdr:sp macro="" textlink="">
      <xdr:nvSpPr>
        <xdr:cNvPr id="581" name="OpenSolver15"/>
        <xdr:cNvSpPr/>
      </xdr:nvSpPr>
      <xdr:spPr>
        <a:xfrm>
          <a:off x="10166350" y="4495800"/>
          <a:ext cx="501650" cy="1651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32</xdr:row>
      <xdr:rowOff>0</xdr:rowOff>
    </xdr:from>
    <xdr:to>
      <xdr:col>21</xdr:col>
      <xdr:colOff>0</xdr:colOff>
      <xdr:row>33</xdr:row>
      <xdr:rowOff>0</xdr:rowOff>
    </xdr:to>
    <xdr:sp macro="" textlink="">
      <xdr:nvSpPr>
        <xdr:cNvPr id="582" name="OpenSolver16"/>
        <xdr:cNvSpPr/>
      </xdr:nvSpPr>
      <xdr:spPr>
        <a:xfrm>
          <a:off x="101663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19</xdr:col>
      <xdr:colOff>508000</xdr:colOff>
      <xdr:row>31</xdr:row>
      <xdr:rowOff>88900</xdr:rowOff>
    </xdr:from>
    <xdr:to>
      <xdr:col>20</xdr:col>
      <xdr:colOff>224739</xdr:colOff>
      <xdr:row>32</xdr:row>
      <xdr:rowOff>50800</xdr:rowOff>
    </xdr:to>
    <xdr:sp macro="" textlink="">
      <xdr:nvSpPr>
        <xdr:cNvPr id="583" name="OpenSolver17"/>
        <xdr:cNvSpPr/>
      </xdr:nvSpPr>
      <xdr:spPr>
        <a:xfrm>
          <a:off x="10160000" y="5245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min 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21</xdr:col>
      <xdr:colOff>0</xdr:colOff>
      <xdr:row>5</xdr:row>
      <xdr:rowOff>0</xdr:rowOff>
    </xdr:from>
    <xdr:to>
      <xdr:col>22</xdr:col>
      <xdr:colOff>0</xdr:colOff>
      <xdr:row>6</xdr:row>
      <xdr:rowOff>0</xdr:rowOff>
    </xdr:to>
    <xdr:sp macro="" textlink="">
      <xdr:nvSpPr>
        <xdr:cNvPr id="584" name="OpenSolver18"/>
        <xdr:cNvSpPr/>
      </xdr:nvSpPr>
      <xdr:spPr>
        <a:xfrm>
          <a:off x="10668000" y="863600"/>
          <a:ext cx="7175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22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" textlink="">
      <xdr:nvSpPr>
        <xdr:cNvPr id="585" name="OpenSolver19"/>
        <xdr:cNvSpPr/>
      </xdr:nvSpPr>
      <xdr:spPr>
        <a:xfrm>
          <a:off x="11385550" y="8636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5</xdr:row>
      <xdr:rowOff>82550</xdr:rowOff>
    </xdr:from>
    <xdr:to>
      <xdr:col>22</xdr:col>
      <xdr:colOff>0</xdr:colOff>
      <xdr:row>5</xdr:row>
      <xdr:rowOff>82550</xdr:rowOff>
    </xdr:to>
    <xdr:cxnSp macro="">
      <xdr:nvCxnSpPr>
        <xdr:cNvPr id="586" name="OpenSolver20"/>
        <xdr:cNvCxnSpPr>
          <a:stCxn id="584" idx="3"/>
          <a:endCxn id="585" idx="1"/>
        </xdr:cNvCxnSpPr>
      </xdr:nvCxnSpPr>
      <xdr:spPr>
        <a:xfrm>
          <a:off x="11385550" y="9461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4</xdr:row>
      <xdr:rowOff>120650</xdr:rowOff>
    </xdr:from>
    <xdr:to>
      <xdr:col>22</xdr:col>
      <xdr:colOff>190500</xdr:colOff>
      <xdr:row>6</xdr:row>
      <xdr:rowOff>44450</xdr:rowOff>
    </xdr:to>
    <xdr:sp macro="" textlink="">
      <xdr:nvSpPr>
        <xdr:cNvPr id="587" name="OpenSolver21"/>
        <xdr:cNvSpPr/>
      </xdr:nvSpPr>
      <xdr:spPr>
        <a:xfrm>
          <a:off x="11195050" y="8191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7</xdr:row>
      <xdr:rowOff>0</xdr:rowOff>
    </xdr:from>
    <xdr:to>
      <xdr:col>22</xdr:col>
      <xdr:colOff>0</xdr:colOff>
      <xdr:row>8</xdr:row>
      <xdr:rowOff>0</xdr:rowOff>
    </xdr:to>
    <xdr:sp macro="" textlink="">
      <xdr:nvSpPr>
        <xdr:cNvPr id="588" name="OpenSolver22"/>
        <xdr:cNvSpPr/>
      </xdr:nvSpPr>
      <xdr:spPr>
        <a:xfrm>
          <a:off x="10668000" y="1193800"/>
          <a:ext cx="7175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23</xdr:col>
      <xdr:colOff>0</xdr:colOff>
      <xdr:row>8</xdr:row>
      <xdr:rowOff>0</xdr:rowOff>
    </xdr:to>
    <xdr:sp macro="" textlink="">
      <xdr:nvSpPr>
        <xdr:cNvPr id="589" name="OpenSolver23"/>
        <xdr:cNvSpPr/>
      </xdr:nvSpPr>
      <xdr:spPr>
        <a:xfrm>
          <a:off x="1138555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7</xdr:row>
      <xdr:rowOff>82550</xdr:rowOff>
    </xdr:from>
    <xdr:to>
      <xdr:col>22</xdr:col>
      <xdr:colOff>0</xdr:colOff>
      <xdr:row>7</xdr:row>
      <xdr:rowOff>82550</xdr:rowOff>
    </xdr:to>
    <xdr:cxnSp macro="">
      <xdr:nvCxnSpPr>
        <xdr:cNvPr id="590" name="OpenSolver24"/>
        <xdr:cNvCxnSpPr>
          <a:stCxn id="588" idx="3"/>
          <a:endCxn id="589" idx="1"/>
        </xdr:cNvCxnSpPr>
      </xdr:nvCxnSpPr>
      <xdr:spPr>
        <a:xfrm>
          <a:off x="11385550" y="12763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6</xdr:row>
      <xdr:rowOff>120650</xdr:rowOff>
    </xdr:from>
    <xdr:to>
      <xdr:col>22</xdr:col>
      <xdr:colOff>190500</xdr:colOff>
      <xdr:row>8</xdr:row>
      <xdr:rowOff>44450</xdr:rowOff>
    </xdr:to>
    <xdr:sp macro="" textlink="">
      <xdr:nvSpPr>
        <xdr:cNvPr id="591" name="OpenSolver25"/>
        <xdr:cNvSpPr/>
      </xdr:nvSpPr>
      <xdr:spPr>
        <a:xfrm>
          <a:off x="11195050" y="11493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10</xdr:row>
      <xdr:rowOff>0</xdr:rowOff>
    </xdr:from>
    <xdr:to>
      <xdr:col>22</xdr:col>
      <xdr:colOff>0</xdr:colOff>
      <xdr:row>11</xdr:row>
      <xdr:rowOff>0</xdr:rowOff>
    </xdr:to>
    <xdr:sp macro="" textlink="">
      <xdr:nvSpPr>
        <xdr:cNvPr id="592" name="OpenSolver26"/>
        <xdr:cNvSpPr/>
      </xdr:nvSpPr>
      <xdr:spPr>
        <a:xfrm>
          <a:off x="10668000" y="1689100"/>
          <a:ext cx="7175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23</xdr:col>
      <xdr:colOff>0</xdr:colOff>
      <xdr:row>11</xdr:row>
      <xdr:rowOff>0</xdr:rowOff>
    </xdr:to>
    <xdr:sp macro="" textlink="">
      <xdr:nvSpPr>
        <xdr:cNvPr id="593" name="OpenSolver27"/>
        <xdr:cNvSpPr/>
      </xdr:nvSpPr>
      <xdr:spPr>
        <a:xfrm>
          <a:off x="11385550" y="16891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10</xdr:row>
      <xdr:rowOff>82550</xdr:rowOff>
    </xdr:from>
    <xdr:to>
      <xdr:col>22</xdr:col>
      <xdr:colOff>0</xdr:colOff>
      <xdr:row>10</xdr:row>
      <xdr:rowOff>82550</xdr:rowOff>
    </xdr:to>
    <xdr:cxnSp macro="">
      <xdr:nvCxnSpPr>
        <xdr:cNvPr id="594" name="OpenSolver28"/>
        <xdr:cNvCxnSpPr>
          <a:stCxn id="592" idx="3"/>
          <a:endCxn id="593" idx="1"/>
        </xdr:cNvCxnSpPr>
      </xdr:nvCxnSpPr>
      <xdr:spPr>
        <a:xfrm>
          <a:off x="11385550" y="17716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9</xdr:row>
      <xdr:rowOff>120650</xdr:rowOff>
    </xdr:from>
    <xdr:to>
      <xdr:col>22</xdr:col>
      <xdr:colOff>190500</xdr:colOff>
      <xdr:row>11</xdr:row>
      <xdr:rowOff>44450</xdr:rowOff>
    </xdr:to>
    <xdr:sp macro="" textlink="">
      <xdr:nvSpPr>
        <xdr:cNvPr id="595" name="OpenSolver29"/>
        <xdr:cNvSpPr/>
      </xdr:nvSpPr>
      <xdr:spPr>
        <a:xfrm>
          <a:off x="11195050" y="16446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596" name="OpenSolver30"/>
        <xdr:cNvSpPr/>
      </xdr:nvSpPr>
      <xdr:spPr>
        <a:xfrm>
          <a:off x="10668000" y="2019300"/>
          <a:ext cx="7175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22</xdr:col>
      <xdr:colOff>0</xdr:colOff>
      <xdr:row>12</xdr:row>
      <xdr:rowOff>0</xdr:rowOff>
    </xdr:from>
    <xdr:to>
      <xdr:col>23</xdr:col>
      <xdr:colOff>0</xdr:colOff>
      <xdr:row>13</xdr:row>
      <xdr:rowOff>0</xdr:rowOff>
    </xdr:to>
    <xdr:sp macro="" textlink="">
      <xdr:nvSpPr>
        <xdr:cNvPr id="597" name="OpenSolver31"/>
        <xdr:cNvSpPr/>
      </xdr:nvSpPr>
      <xdr:spPr>
        <a:xfrm>
          <a:off x="1138555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12</xdr:row>
      <xdr:rowOff>82550</xdr:rowOff>
    </xdr:from>
    <xdr:to>
      <xdr:col>22</xdr:col>
      <xdr:colOff>0</xdr:colOff>
      <xdr:row>12</xdr:row>
      <xdr:rowOff>82550</xdr:rowOff>
    </xdr:to>
    <xdr:cxnSp macro="">
      <xdr:nvCxnSpPr>
        <xdr:cNvPr id="598" name="OpenSolver32"/>
        <xdr:cNvCxnSpPr>
          <a:stCxn id="596" idx="3"/>
          <a:endCxn id="597" idx="1"/>
        </xdr:cNvCxnSpPr>
      </xdr:nvCxnSpPr>
      <xdr:spPr>
        <a:xfrm>
          <a:off x="11385550" y="210185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11</xdr:row>
      <xdr:rowOff>120650</xdr:rowOff>
    </xdr:from>
    <xdr:to>
      <xdr:col>22</xdr:col>
      <xdr:colOff>190500</xdr:colOff>
      <xdr:row>13</xdr:row>
      <xdr:rowOff>44450</xdr:rowOff>
    </xdr:to>
    <xdr:sp macro="" textlink="">
      <xdr:nvSpPr>
        <xdr:cNvPr id="599" name="OpenSolver33"/>
        <xdr:cNvSpPr/>
      </xdr:nvSpPr>
      <xdr:spPr>
        <a:xfrm>
          <a:off x="11195050" y="19748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15</xdr:row>
      <xdr:rowOff>0</xdr:rowOff>
    </xdr:from>
    <xdr:to>
      <xdr:col>22</xdr:col>
      <xdr:colOff>0</xdr:colOff>
      <xdr:row>16</xdr:row>
      <xdr:rowOff>0</xdr:rowOff>
    </xdr:to>
    <xdr:sp macro="" textlink="">
      <xdr:nvSpPr>
        <xdr:cNvPr id="600" name="OpenSolver34"/>
        <xdr:cNvSpPr/>
      </xdr:nvSpPr>
      <xdr:spPr>
        <a:xfrm>
          <a:off x="10668000" y="2514600"/>
          <a:ext cx="7175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22</xdr:col>
      <xdr:colOff>0</xdr:colOff>
      <xdr:row>15</xdr:row>
      <xdr:rowOff>0</xdr:rowOff>
    </xdr:from>
    <xdr:to>
      <xdr:col>23</xdr:col>
      <xdr:colOff>0</xdr:colOff>
      <xdr:row>16</xdr:row>
      <xdr:rowOff>0</xdr:rowOff>
    </xdr:to>
    <xdr:sp macro="" textlink="">
      <xdr:nvSpPr>
        <xdr:cNvPr id="601" name="OpenSolver35"/>
        <xdr:cNvSpPr/>
      </xdr:nvSpPr>
      <xdr:spPr>
        <a:xfrm>
          <a:off x="11385550" y="25146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15</xdr:row>
      <xdr:rowOff>82550</xdr:rowOff>
    </xdr:from>
    <xdr:to>
      <xdr:col>22</xdr:col>
      <xdr:colOff>0</xdr:colOff>
      <xdr:row>15</xdr:row>
      <xdr:rowOff>82550</xdr:rowOff>
    </xdr:to>
    <xdr:cxnSp macro="">
      <xdr:nvCxnSpPr>
        <xdr:cNvPr id="602" name="OpenSolver36"/>
        <xdr:cNvCxnSpPr>
          <a:stCxn id="600" idx="3"/>
          <a:endCxn id="601" idx="1"/>
        </xdr:cNvCxnSpPr>
      </xdr:nvCxnSpPr>
      <xdr:spPr>
        <a:xfrm>
          <a:off x="11385550" y="25971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14</xdr:row>
      <xdr:rowOff>120650</xdr:rowOff>
    </xdr:from>
    <xdr:to>
      <xdr:col>22</xdr:col>
      <xdr:colOff>190500</xdr:colOff>
      <xdr:row>16</xdr:row>
      <xdr:rowOff>44450</xdr:rowOff>
    </xdr:to>
    <xdr:sp macro="" textlink="">
      <xdr:nvSpPr>
        <xdr:cNvPr id="603" name="OpenSolver37"/>
        <xdr:cNvSpPr/>
      </xdr:nvSpPr>
      <xdr:spPr>
        <a:xfrm>
          <a:off x="11195050" y="24701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17</xdr:row>
      <xdr:rowOff>0</xdr:rowOff>
    </xdr:from>
    <xdr:to>
      <xdr:col>22</xdr:col>
      <xdr:colOff>0</xdr:colOff>
      <xdr:row>18</xdr:row>
      <xdr:rowOff>0</xdr:rowOff>
    </xdr:to>
    <xdr:sp macro="" textlink="">
      <xdr:nvSpPr>
        <xdr:cNvPr id="604" name="OpenSolver38"/>
        <xdr:cNvSpPr/>
      </xdr:nvSpPr>
      <xdr:spPr>
        <a:xfrm>
          <a:off x="10668000" y="2844800"/>
          <a:ext cx="7175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23</xdr:col>
      <xdr:colOff>0</xdr:colOff>
      <xdr:row>18</xdr:row>
      <xdr:rowOff>0</xdr:rowOff>
    </xdr:to>
    <xdr:sp macro="" textlink="">
      <xdr:nvSpPr>
        <xdr:cNvPr id="605" name="OpenSolver39"/>
        <xdr:cNvSpPr/>
      </xdr:nvSpPr>
      <xdr:spPr>
        <a:xfrm>
          <a:off x="1138555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17</xdr:row>
      <xdr:rowOff>82550</xdr:rowOff>
    </xdr:from>
    <xdr:to>
      <xdr:col>22</xdr:col>
      <xdr:colOff>0</xdr:colOff>
      <xdr:row>17</xdr:row>
      <xdr:rowOff>82550</xdr:rowOff>
    </xdr:to>
    <xdr:cxnSp macro="">
      <xdr:nvCxnSpPr>
        <xdr:cNvPr id="606" name="OpenSolver40"/>
        <xdr:cNvCxnSpPr>
          <a:stCxn id="604" idx="3"/>
          <a:endCxn id="605" idx="1"/>
        </xdr:cNvCxnSpPr>
      </xdr:nvCxnSpPr>
      <xdr:spPr>
        <a:xfrm>
          <a:off x="11385550" y="29273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16</xdr:row>
      <xdr:rowOff>120650</xdr:rowOff>
    </xdr:from>
    <xdr:to>
      <xdr:col>22</xdr:col>
      <xdr:colOff>190500</xdr:colOff>
      <xdr:row>18</xdr:row>
      <xdr:rowOff>44450</xdr:rowOff>
    </xdr:to>
    <xdr:sp macro="" textlink="">
      <xdr:nvSpPr>
        <xdr:cNvPr id="607" name="OpenSolver41"/>
        <xdr:cNvSpPr/>
      </xdr:nvSpPr>
      <xdr:spPr>
        <a:xfrm>
          <a:off x="11195050" y="28003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608" name="OpenSolver42"/>
        <xdr:cNvSpPr/>
      </xdr:nvSpPr>
      <xdr:spPr>
        <a:xfrm>
          <a:off x="10668000" y="3340100"/>
          <a:ext cx="7175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22</xdr:col>
      <xdr:colOff>0</xdr:colOff>
      <xdr:row>20</xdr:row>
      <xdr:rowOff>0</xdr:rowOff>
    </xdr:from>
    <xdr:to>
      <xdr:col>23</xdr:col>
      <xdr:colOff>0</xdr:colOff>
      <xdr:row>21</xdr:row>
      <xdr:rowOff>0</xdr:rowOff>
    </xdr:to>
    <xdr:sp macro="" textlink="">
      <xdr:nvSpPr>
        <xdr:cNvPr id="609" name="OpenSolver43"/>
        <xdr:cNvSpPr/>
      </xdr:nvSpPr>
      <xdr:spPr>
        <a:xfrm>
          <a:off x="11385550" y="33401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20</xdr:row>
      <xdr:rowOff>82550</xdr:rowOff>
    </xdr:from>
    <xdr:to>
      <xdr:col>22</xdr:col>
      <xdr:colOff>0</xdr:colOff>
      <xdr:row>20</xdr:row>
      <xdr:rowOff>82550</xdr:rowOff>
    </xdr:to>
    <xdr:cxnSp macro="">
      <xdr:nvCxnSpPr>
        <xdr:cNvPr id="610" name="OpenSolver44"/>
        <xdr:cNvCxnSpPr>
          <a:stCxn id="608" idx="3"/>
          <a:endCxn id="609" idx="1"/>
        </xdr:cNvCxnSpPr>
      </xdr:nvCxnSpPr>
      <xdr:spPr>
        <a:xfrm>
          <a:off x="11385550" y="342265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19</xdr:row>
      <xdr:rowOff>120650</xdr:rowOff>
    </xdr:from>
    <xdr:to>
      <xdr:col>22</xdr:col>
      <xdr:colOff>190500</xdr:colOff>
      <xdr:row>21</xdr:row>
      <xdr:rowOff>44450</xdr:rowOff>
    </xdr:to>
    <xdr:sp macro="" textlink="">
      <xdr:nvSpPr>
        <xdr:cNvPr id="611" name="OpenSolver45"/>
        <xdr:cNvSpPr/>
      </xdr:nvSpPr>
      <xdr:spPr>
        <a:xfrm>
          <a:off x="11195050" y="32956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22</xdr:row>
      <xdr:rowOff>0</xdr:rowOff>
    </xdr:from>
    <xdr:to>
      <xdr:col>22</xdr:col>
      <xdr:colOff>0</xdr:colOff>
      <xdr:row>23</xdr:row>
      <xdr:rowOff>0</xdr:rowOff>
    </xdr:to>
    <xdr:sp macro="" textlink="">
      <xdr:nvSpPr>
        <xdr:cNvPr id="612" name="OpenSolver46"/>
        <xdr:cNvSpPr/>
      </xdr:nvSpPr>
      <xdr:spPr>
        <a:xfrm>
          <a:off x="10668000" y="3670300"/>
          <a:ext cx="7175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22</xdr:col>
      <xdr:colOff>0</xdr:colOff>
      <xdr:row>22</xdr:row>
      <xdr:rowOff>0</xdr:rowOff>
    </xdr:from>
    <xdr:to>
      <xdr:col>23</xdr:col>
      <xdr:colOff>0</xdr:colOff>
      <xdr:row>23</xdr:row>
      <xdr:rowOff>0</xdr:rowOff>
    </xdr:to>
    <xdr:sp macro="" textlink="">
      <xdr:nvSpPr>
        <xdr:cNvPr id="613" name="OpenSolver47"/>
        <xdr:cNvSpPr/>
      </xdr:nvSpPr>
      <xdr:spPr>
        <a:xfrm>
          <a:off x="1138555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22</xdr:row>
      <xdr:rowOff>82550</xdr:rowOff>
    </xdr:from>
    <xdr:to>
      <xdr:col>22</xdr:col>
      <xdr:colOff>0</xdr:colOff>
      <xdr:row>22</xdr:row>
      <xdr:rowOff>82550</xdr:rowOff>
    </xdr:to>
    <xdr:cxnSp macro="">
      <xdr:nvCxnSpPr>
        <xdr:cNvPr id="614" name="OpenSolver48"/>
        <xdr:cNvCxnSpPr>
          <a:stCxn id="612" idx="3"/>
          <a:endCxn id="613" idx="1"/>
        </xdr:cNvCxnSpPr>
      </xdr:nvCxnSpPr>
      <xdr:spPr>
        <a:xfrm>
          <a:off x="11385550" y="37528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21</xdr:row>
      <xdr:rowOff>120650</xdr:rowOff>
    </xdr:from>
    <xdr:to>
      <xdr:col>22</xdr:col>
      <xdr:colOff>190500</xdr:colOff>
      <xdr:row>23</xdr:row>
      <xdr:rowOff>44450</xdr:rowOff>
    </xdr:to>
    <xdr:sp macro="" textlink="">
      <xdr:nvSpPr>
        <xdr:cNvPr id="615" name="OpenSolver49"/>
        <xdr:cNvSpPr/>
      </xdr:nvSpPr>
      <xdr:spPr>
        <a:xfrm>
          <a:off x="11195050" y="36258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25</xdr:row>
      <xdr:rowOff>0</xdr:rowOff>
    </xdr:from>
    <xdr:to>
      <xdr:col>22</xdr:col>
      <xdr:colOff>0</xdr:colOff>
      <xdr:row>26</xdr:row>
      <xdr:rowOff>0</xdr:rowOff>
    </xdr:to>
    <xdr:sp macro="" textlink="">
      <xdr:nvSpPr>
        <xdr:cNvPr id="616" name="OpenSolver50"/>
        <xdr:cNvSpPr/>
      </xdr:nvSpPr>
      <xdr:spPr>
        <a:xfrm>
          <a:off x="10668000" y="4165600"/>
          <a:ext cx="7175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22</xdr:col>
      <xdr:colOff>0</xdr:colOff>
      <xdr:row>25</xdr:row>
      <xdr:rowOff>0</xdr:rowOff>
    </xdr:from>
    <xdr:to>
      <xdr:col>23</xdr:col>
      <xdr:colOff>0</xdr:colOff>
      <xdr:row>26</xdr:row>
      <xdr:rowOff>0</xdr:rowOff>
    </xdr:to>
    <xdr:sp macro="" textlink="">
      <xdr:nvSpPr>
        <xdr:cNvPr id="617" name="OpenSolver51"/>
        <xdr:cNvSpPr/>
      </xdr:nvSpPr>
      <xdr:spPr>
        <a:xfrm>
          <a:off x="11385550" y="41656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25</xdr:row>
      <xdr:rowOff>82550</xdr:rowOff>
    </xdr:from>
    <xdr:to>
      <xdr:col>22</xdr:col>
      <xdr:colOff>0</xdr:colOff>
      <xdr:row>25</xdr:row>
      <xdr:rowOff>82550</xdr:rowOff>
    </xdr:to>
    <xdr:cxnSp macro="">
      <xdr:nvCxnSpPr>
        <xdr:cNvPr id="618" name="OpenSolver52"/>
        <xdr:cNvCxnSpPr>
          <a:stCxn id="616" idx="3"/>
          <a:endCxn id="617" idx="1"/>
        </xdr:cNvCxnSpPr>
      </xdr:nvCxnSpPr>
      <xdr:spPr>
        <a:xfrm>
          <a:off x="11385550" y="42481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24</xdr:row>
      <xdr:rowOff>120650</xdr:rowOff>
    </xdr:from>
    <xdr:to>
      <xdr:col>22</xdr:col>
      <xdr:colOff>190500</xdr:colOff>
      <xdr:row>26</xdr:row>
      <xdr:rowOff>44450</xdr:rowOff>
    </xdr:to>
    <xdr:sp macro="" textlink="">
      <xdr:nvSpPr>
        <xdr:cNvPr id="619" name="OpenSolver53"/>
        <xdr:cNvSpPr/>
      </xdr:nvSpPr>
      <xdr:spPr>
        <a:xfrm>
          <a:off x="11195050" y="41211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27</xdr:row>
      <xdr:rowOff>0</xdr:rowOff>
    </xdr:from>
    <xdr:to>
      <xdr:col>22</xdr:col>
      <xdr:colOff>0</xdr:colOff>
      <xdr:row>28</xdr:row>
      <xdr:rowOff>0</xdr:rowOff>
    </xdr:to>
    <xdr:sp macro="" textlink="">
      <xdr:nvSpPr>
        <xdr:cNvPr id="620" name="OpenSolver54"/>
        <xdr:cNvSpPr/>
      </xdr:nvSpPr>
      <xdr:spPr>
        <a:xfrm>
          <a:off x="10668000" y="4495800"/>
          <a:ext cx="7175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22</xdr:col>
      <xdr:colOff>0</xdr:colOff>
      <xdr:row>27</xdr:row>
      <xdr:rowOff>0</xdr:rowOff>
    </xdr:from>
    <xdr:to>
      <xdr:col>23</xdr:col>
      <xdr:colOff>0</xdr:colOff>
      <xdr:row>28</xdr:row>
      <xdr:rowOff>0</xdr:rowOff>
    </xdr:to>
    <xdr:sp macro="" textlink="">
      <xdr:nvSpPr>
        <xdr:cNvPr id="621" name="OpenSolver55"/>
        <xdr:cNvSpPr/>
      </xdr:nvSpPr>
      <xdr:spPr>
        <a:xfrm>
          <a:off x="1138555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27</xdr:row>
      <xdr:rowOff>82550</xdr:rowOff>
    </xdr:from>
    <xdr:to>
      <xdr:col>22</xdr:col>
      <xdr:colOff>0</xdr:colOff>
      <xdr:row>27</xdr:row>
      <xdr:rowOff>82550</xdr:rowOff>
    </xdr:to>
    <xdr:cxnSp macro="">
      <xdr:nvCxnSpPr>
        <xdr:cNvPr id="622" name="OpenSolver56"/>
        <xdr:cNvCxnSpPr>
          <a:stCxn id="620" idx="3"/>
          <a:endCxn id="621" idx="1"/>
        </xdr:cNvCxnSpPr>
      </xdr:nvCxnSpPr>
      <xdr:spPr>
        <a:xfrm>
          <a:off x="11385550" y="45783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527050</xdr:colOff>
      <xdr:row>26</xdr:row>
      <xdr:rowOff>120650</xdr:rowOff>
    </xdr:from>
    <xdr:to>
      <xdr:col>22</xdr:col>
      <xdr:colOff>190500</xdr:colOff>
      <xdr:row>28</xdr:row>
      <xdr:rowOff>44450</xdr:rowOff>
    </xdr:to>
    <xdr:sp macro="" textlink="">
      <xdr:nvSpPr>
        <xdr:cNvPr id="623" name="OpenSolver57"/>
        <xdr:cNvSpPr/>
      </xdr:nvSpPr>
      <xdr:spPr>
        <a:xfrm>
          <a:off x="11195050" y="44513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" textlink="">
      <xdr:nvSpPr>
        <xdr:cNvPr id="624" name="OpenSolver58"/>
        <xdr:cNvSpPr/>
      </xdr:nvSpPr>
      <xdr:spPr>
        <a:xfrm>
          <a:off x="236220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625" name="OpenSolver59"/>
        <xdr:cNvSpPr/>
      </xdr:nvSpPr>
      <xdr:spPr>
        <a:xfrm>
          <a:off x="236220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250825</xdr:colOff>
      <xdr:row>32</xdr:row>
      <xdr:rowOff>0</xdr:rowOff>
    </xdr:from>
    <xdr:to>
      <xdr:col>4</xdr:col>
      <xdr:colOff>250825</xdr:colOff>
      <xdr:row>32</xdr:row>
      <xdr:rowOff>0</xdr:rowOff>
    </xdr:to>
    <xdr:cxnSp macro="">
      <xdr:nvCxnSpPr>
        <xdr:cNvPr id="626" name="OpenSolver60"/>
        <xdr:cNvCxnSpPr>
          <a:stCxn id="624" idx="2"/>
          <a:endCxn id="625" idx="0"/>
        </xdr:cNvCxnSpPr>
      </xdr:nvCxnSpPr>
      <xdr:spPr>
        <a:xfrm>
          <a:off x="2613025" y="53213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60325</xdr:colOff>
      <xdr:row>31</xdr:row>
      <xdr:rowOff>38100</xdr:rowOff>
    </xdr:from>
    <xdr:to>
      <xdr:col>4</xdr:col>
      <xdr:colOff>441325</xdr:colOff>
      <xdr:row>32</xdr:row>
      <xdr:rowOff>127000</xdr:rowOff>
    </xdr:to>
    <xdr:sp macro="" textlink="">
      <xdr:nvSpPr>
        <xdr:cNvPr id="627" name="OpenSolver61"/>
        <xdr:cNvSpPr/>
      </xdr:nvSpPr>
      <xdr:spPr>
        <a:xfrm>
          <a:off x="242252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31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628" name="OpenSolver62"/>
        <xdr:cNvSpPr/>
      </xdr:nvSpPr>
      <xdr:spPr>
        <a:xfrm>
          <a:off x="286385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629" name="OpenSolver63"/>
        <xdr:cNvSpPr/>
      </xdr:nvSpPr>
      <xdr:spPr>
        <a:xfrm>
          <a:off x="28638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250825</xdr:colOff>
      <xdr:row>32</xdr:row>
      <xdr:rowOff>0</xdr:rowOff>
    </xdr:from>
    <xdr:to>
      <xdr:col>5</xdr:col>
      <xdr:colOff>250825</xdr:colOff>
      <xdr:row>32</xdr:row>
      <xdr:rowOff>0</xdr:rowOff>
    </xdr:to>
    <xdr:cxnSp macro="">
      <xdr:nvCxnSpPr>
        <xdr:cNvPr id="630" name="OpenSolver64"/>
        <xdr:cNvCxnSpPr>
          <a:stCxn id="628" idx="2"/>
          <a:endCxn id="629" idx="0"/>
        </xdr:cNvCxnSpPr>
      </xdr:nvCxnSpPr>
      <xdr:spPr>
        <a:xfrm>
          <a:off x="3114675" y="53213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60325</xdr:colOff>
      <xdr:row>31</xdr:row>
      <xdr:rowOff>38100</xdr:rowOff>
    </xdr:from>
    <xdr:to>
      <xdr:col>5</xdr:col>
      <xdr:colOff>441325</xdr:colOff>
      <xdr:row>32</xdr:row>
      <xdr:rowOff>127000</xdr:rowOff>
    </xdr:to>
    <xdr:sp macro="" textlink="">
      <xdr:nvSpPr>
        <xdr:cNvPr id="631" name="OpenSolver65"/>
        <xdr:cNvSpPr/>
      </xdr:nvSpPr>
      <xdr:spPr>
        <a:xfrm>
          <a:off x="292417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31</xdr:row>
      <xdr:rowOff>0</xdr:rowOff>
    </xdr:from>
    <xdr:to>
      <xdr:col>7</xdr:col>
      <xdr:colOff>0</xdr:colOff>
      <xdr:row>32</xdr:row>
      <xdr:rowOff>0</xdr:rowOff>
    </xdr:to>
    <xdr:sp macro="" textlink="">
      <xdr:nvSpPr>
        <xdr:cNvPr id="632" name="OpenSolver66"/>
        <xdr:cNvSpPr/>
      </xdr:nvSpPr>
      <xdr:spPr>
        <a:xfrm>
          <a:off x="336550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7</xdr:col>
      <xdr:colOff>0</xdr:colOff>
      <xdr:row>33</xdr:row>
      <xdr:rowOff>0</xdr:rowOff>
    </xdr:to>
    <xdr:sp macro="" textlink="">
      <xdr:nvSpPr>
        <xdr:cNvPr id="633" name="OpenSolver67"/>
        <xdr:cNvSpPr/>
      </xdr:nvSpPr>
      <xdr:spPr>
        <a:xfrm>
          <a:off x="336550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250825</xdr:colOff>
      <xdr:row>32</xdr:row>
      <xdr:rowOff>0</xdr:rowOff>
    </xdr:from>
    <xdr:to>
      <xdr:col>6</xdr:col>
      <xdr:colOff>250825</xdr:colOff>
      <xdr:row>32</xdr:row>
      <xdr:rowOff>0</xdr:rowOff>
    </xdr:to>
    <xdr:cxnSp macro="">
      <xdr:nvCxnSpPr>
        <xdr:cNvPr id="634" name="OpenSolver68"/>
        <xdr:cNvCxnSpPr>
          <a:stCxn id="632" idx="2"/>
          <a:endCxn id="633" idx="0"/>
        </xdr:cNvCxnSpPr>
      </xdr:nvCxnSpPr>
      <xdr:spPr>
        <a:xfrm>
          <a:off x="3616325" y="53213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60325</xdr:colOff>
      <xdr:row>31</xdr:row>
      <xdr:rowOff>38100</xdr:rowOff>
    </xdr:from>
    <xdr:to>
      <xdr:col>6</xdr:col>
      <xdr:colOff>441325</xdr:colOff>
      <xdr:row>32</xdr:row>
      <xdr:rowOff>127000</xdr:rowOff>
    </xdr:to>
    <xdr:sp macro="" textlink="">
      <xdr:nvSpPr>
        <xdr:cNvPr id="635" name="OpenSolver69"/>
        <xdr:cNvSpPr/>
      </xdr:nvSpPr>
      <xdr:spPr>
        <a:xfrm>
          <a:off x="342582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636" name="OpenSolver70"/>
        <xdr:cNvSpPr/>
      </xdr:nvSpPr>
      <xdr:spPr>
        <a:xfrm>
          <a:off x="386715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637" name="OpenSolver71"/>
        <xdr:cNvSpPr/>
      </xdr:nvSpPr>
      <xdr:spPr>
        <a:xfrm>
          <a:off x="38671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</xdr:col>
      <xdr:colOff>250825</xdr:colOff>
      <xdr:row>32</xdr:row>
      <xdr:rowOff>0</xdr:rowOff>
    </xdr:from>
    <xdr:to>
      <xdr:col>7</xdr:col>
      <xdr:colOff>250825</xdr:colOff>
      <xdr:row>32</xdr:row>
      <xdr:rowOff>0</xdr:rowOff>
    </xdr:to>
    <xdr:cxnSp macro="">
      <xdr:nvCxnSpPr>
        <xdr:cNvPr id="638" name="OpenSolver72"/>
        <xdr:cNvCxnSpPr>
          <a:stCxn id="636" idx="2"/>
          <a:endCxn id="637" idx="0"/>
        </xdr:cNvCxnSpPr>
      </xdr:nvCxnSpPr>
      <xdr:spPr>
        <a:xfrm>
          <a:off x="4117975" y="53213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</xdr:colOff>
      <xdr:row>31</xdr:row>
      <xdr:rowOff>38100</xdr:rowOff>
    </xdr:from>
    <xdr:to>
      <xdr:col>7</xdr:col>
      <xdr:colOff>441325</xdr:colOff>
      <xdr:row>32</xdr:row>
      <xdr:rowOff>127000</xdr:rowOff>
    </xdr:to>
    <xdr:sp macro="" textlink="">
      <xdr:nvSpPr>
        <xdr:cNvPr id="639" name="OpenSolver73"/>
        <xdr:cNvSpPr/>
      </xdr:nvSpPr>
      <xdr:spPr>
        <a:xfrm>
          <a:off x="392747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sp macro="" textlink="">
      <xdr:nvSpPr>
        <xdr:cNvPr id="640" name="OpenSolver74"/>
        <xdr:cNvSpPr/>
      </xdr:nvSpPr>
      <xdr:spPr>
        <a:xfrm>
          <a:off x="436880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sp macro="" textlink="">
      <xdr:nvSpPr>
        <xdr:cNvPr id="641" name="OpenSolver75"/>
        <xdr:cNvSpPr/>
      </xdr:nvSpPr>
      <xdr:spPr>
        <a:xfrm>
          <a:off x="436880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250825</xdr:colOff>
      <xdr:row>32</xdr:row>
      <xdr:rowOff>0</xdr:rowOff>
    </xdr:from>
    <xdr:to>
      <xdr:col>8</xdr:col>
      <xdr:colOff>250825</xdr:colOff>
      <xdr:row>32</xdr:row>
      <xdr:rowOff>0</xdr:rowOff>
    </xdr:to>
    <xdr:cxnSp macro="">
      <xdr:nvCxnSpPr>
        <xdr:cNvPr id="642" name="OpenSolver76"/>
        <xdr:cNvCxnSpPr>
          <a:stCxn id="640" idx="2"/>
          <a:endCxn id="641" idx="0"/>
        </xdr:cNvCxnSpPr>
      </xdr:nvCxnSpPr>
      <xdr:spPr>
        <a:xfrm>
          <a:off x="4619625" y="53213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60325</xdr:colOff>
      <xdr:row>31</xdr:row>
      <xdr:rowOff>38100</xdr:rowOff>
    </xdr:from>
    <xdr:to>
      <xdr:col>8</xdr:col>
      <xdr:colOff>441325</xdr:colOff>
      <xdr:row>32</xdr:row>
      <xdr:rowOff>127000</xdr:rowOff>
    </xdr:to>
    <xdr:sp macro="" textlink="">
      <xdr:nvSpPr>
        <xdr:cNvPr id="643" name="OpenSolver77"/>
        <xdr:cNvSpPr/>
      </xdr:nvSpPr>
      <xdr:spPr>
        <a:xfrm>
          <a:off x="442912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644" name="OpenSolver78"/>
        <xdr:cNvSpPr/>
      </xdr:nvSpPr>
      <xdr:spPr>
        <a:xfrm>
          <a:off x="487045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645" name="OpenSolver79"/>
        <xdr:cNvSpPr/>
      </xdr:nvSpPr>
      <xdr:spPr>
        <a:xfrm>
          <a:off x="48704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250825</xdr:colOff>
      <xdr:row>32</xdr:row>
      <xdr:rowOff>0</xdr:rowOff>
    </xdr:from>
    <xdr:to>
      <xdr:col>9</xdr:col>
      <xdr:colOff>250825</xdr:colOff>
      <xdr:row>32</xdr:row>
      <xdr:rowOff>0</xdr:rowOff>
    </xdr:to>
    <xdr:cxnSp macro="">
      <xdr:nvCxnSpPr>
        <xdr:cNvPr id="646" name="OpenSolver80"/>
        <xdr:cNvCxnSpPr>
          <a:stCxn id="644" idx="2"/>
          <a:endCxn id="645" idx="0"/>
        </xdr:cNvCxnSpPr>
      </xdr:nvCxnSpPr>
      <xdr:spPr>
        <a:xfrm>
          <a:off x="5121275" y="53213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60325</xdr:colOff>
      <xdr:row>31</xdr:row>
      <xdr:rowOff>38100</xdr:rowOff>
    </xdr:from>
    <xdr:to>
      <xdr:col>9</xdr:col>
      <xdr:colOff>441325</xdr:colOff>
      <xdr:row>32</xdr:row>
      <xdr:rowOff>127000</xdr:rowOff>
    </xdr:to>
    <xdr:sp macro="" textlink="">
      <xdr:nvSpPr>
        <xdr:cNvPr id="647" name="OpenSolver81"/>
        <xdr:cNvSpPr/>
      </xdr:nvSpPr>
      <xdr:spPr>
        <a:xfrm>
          <a:off x="493077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31</xdr:row>
      <xdr:rowOff>0</xdr:rowOff>
    </xdr:from>
    <xdr:to>
      <xdr:col>11</xdr:col>
      <xdr:colOff>0</xdr:colOff>
      <xdr:row>32</xdr:row>
      <xdr:rowOff>0</xdr:rowOff>
    </xdr:to>
    <xdr:sp macro="" textlink="">
      <xdr:nvSpPr>
        <xdr:cNvPr id="648" name="OpenSolver82"/>
        <xdr:cNvSpPr/>
      </xdr:nvSpPr>
      <xdr:spPr>
        <a:xfrm>
          <a:off x="537210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32</xdr:row>
      <xdr:rowOff>0</xdr:rowOff>
    </xdr:from>
    <xdr:to>
      <xdr:col>11</xdr:col>
      <xdr:colOff>0</xdr:colOff>
      <xdr:row>33</xdr:row>
      <xdr:rowOff>0</xdr:rowOff>
    </xdr:to>
    <xdr:sp macro="" textlink="">
      <xdr:nvSpPr>
        <xdr:cNvPr id="649" name="OpenSolver83"/>
        <xdr:cNvSpPr/>
      </xdr:nvSpPr>
      <xdr:spPr>
        <a:xfrm>
          <a:off x="537210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250825</xdr:colOff>
      <xdr:row>32</xdr:row>
      <xdr:rowOff>0</xdr:rowOff>
    </xdr:from>
    <xdr:to>
      <xdr:col>10</xdr:col>
      <xdr:colOff>250825</xdr:colOff>
      <xdr:row>32</xdr:row>
      <xdr:rowOff>0</xdr:rowOff>
    </xdr:to>
    <xdr:cxnSp macro="">
      <xdr:nvCxnSpPr>
        <xdr:cNvPr id="650" name="OpenSolver84"/>
        <xdr:cNvCxnSpPr>
          <a:stCxn id="648" idx="2"/>
          <a:endCxn id="649" idx="0"/>
        </xdr:cNvCxnSpPr>
      </xdr:nvCxnSpPr>
      <xdr:spPr>
        <a:xfrm>
          <a:off x="5622925" y="53213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60325</xdr:colOff>
      <xdr:row>31</xdr:row>
      <xdr:rowOff>38100</xdr:rowOff>
    </xdr:from>
    <xdr:to>
      <xdr:col>10</xdr:col>
      <xdr:colOff>441325</xdr:colOff>
      <xdr:row>32</xdr:row>
      <xdr:rowOff>127000</xdr:rowOff>
    </xdr:to>
    <xdr:sp macro="" textlink="">
      <xdr:nvSpPr>
        <xdr:cNvPr id="651" name="OpenSolver85"/>
        <xdr:cNvSpPr/>
      </xdr:nvSpPr>
      <xdr:spPr>
        <a:xfrm>
          <a:off x="543242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31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652" name="OpenSolver86"/>
        <xdr:cNvSpPr/>
      </xdr:nvSpPr>
      <xdr:spPr>
        <a:xfrm>
          <a:off x="587375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653" name="OpenSolver87"/>
        <xdr:cNvSpPr/>
      </xdr:nvSpPr>
      <xdr:spPr>
        <a:xfrm>
          <a:off x="58737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250825</xdr:colOff>
      <xdr:row>32</xdr:row>
      <xdr:rowOff>0</xdr:rowOff>
    </xdr:from>
    <xdr:to>
      <xdr:col>11</xdr:col>
      <xdr:colOff>250825</xdr:colOff>
      <xdr:row>32</xdr:row>
      <xdr:rowOff>0</xdr:rowOff>
    </xdr:to>
    <xdr:cxnSp macro="">
      <xdr:nvCxnSpPr>
        <xdr:cNvPr id="654" name="OpenSolver88"/>
        <xdr:cNvCxnSpPr>
          <a:stCxn id="652" idx="2"/>
          <a:endCxn id="653" idx="0"/>
        </xdr:cNvCxnSpPr>
      </xdr:nvCxnSpPr>
      <xdr:spPr>
        <a:xfrm>
          <a:off x="6124575" y="53213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60325</xdr:colOff>
      <xdr:row>31</xdr:row>
      <xdr:rowOff>38100</xdr:rowOff>
    </xdr:from>
    <xdr:to>
      <xdr:col>11</xdr:col>
      <xdr:colOff>441325</xdr:colOff>
      <xdr:row>32</xdr:row>
      <xdr:rowOff>127000</xdr:rowOff>
    </xdr:to>
    <xdr:sp macro="" textlink="">
      <xdr:nvSpPr>
        <xdr:cNvPr id="655" name="OpenSolver89"/>
        <xdr:cNvSpPr/>
      </xdr:nvSpPr>
      <xdr:spPr>
        <a:xfrm>
          <a:off x="593407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31</xdr:row>
      <xdr:rowOff>0</xdr:rowOff>
    </xdr:from>
    <xdr:to>
      <xdr:col>13</xdr:col>
      <xdr:colOff>0</xdr:colOff>
      <xdr:row>32</xdr:row>
      <xdr:rowOff>0</xdr:rowOff>
    </xdr:to>
    <xdr:sp macro="" textlink="">
      <xdr:nvSpPr>
        <xdr:cNvPr id="656" name="OpenSolver90"/>
        <xdr:cNvSpPr/>
      </xdr:nvSpPr>
      <xdr:spPr>
        <a:xfrm>
          <a:off x="637540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657" name="OpenSolver91"/>
        <xdr:cNvSpPr/>
      </xdr:nvSpPr>
      <xdr:spPr>
        <a:xfrm>
          <a:off x="637540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</xdr:col>
      <xdr:colOff>250825</xdr:colOff>
      <xdr:row>32</xdr:row>
      <xdr:rowOff>0</xdr:rowOff>
    </xdr:from>
    <xdr:to>
      <xdr:col>12</xdr:col>
      <xdr:colOff>250825</xdr:colOff>
      <xdr:row>32</xdr:row>
      <xdr:rowOff>0</xdr:rowOff>
    </xdr:to>
    <xdr:cxnSp macro="">
      <xdr:nvCxnSpPr>
        <xdr:cNvPr id="658" name="OpenSolver92"/>
        <xdr:cNvCxnSpPr>
          <a:stCxn id="656" idx="2"/>
          <a:endCxn id="657" idx="0"/>
        </xdr:cNvCxnSpPr>
      </xdr:nvCxnSpPr>
      <xdr:spPr>
        <a:xfrm>
          <a:off x="6626225" y="53213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60325</xdr:colOff>
      <xdr:row>31</xdr:row>
      <xdr:rowOff>38100</xdr:rowOff>
    </xdr:from>
    <xdr:to>
      <xdr:col>12</xdr:col>
      <xdr:colOff>441325</xdr:colOff>
      <xdr:row>32</xdr:row>
      <xdr:rowOff>127000</xdr:rowOff>
    </xdr:to>
    <xdr:sp macro="" textlink="">
      <xdr:nvSpPr>
        <xdr:cNvPr id="659" name="OpenSolver93"/>
        <xdr:cNvSpPr/>
      </xdr:nvSpPr>
      <xdr:spPr>
        <a:xfrm>
          <a:off x="643572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32</xdr:row>
      <xdr:rowOff>0</xdr:rowOff>
    </xdr:to>
    <xdr:sp macro="" textlink="">
      <xdr:nvSpPr>
        <xdr:cNvPr id="660" name="OpenSolver94"/>
        <xdr:cNvSpPr/>
      </xdr:nvSpPr>
      <xdr:spPr>
        <a:xfrm>
          <a:off x="687705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661" name="OpenSolver95"/>
        <xdr:cNvSpPr/>
      </xdr:nvSpPr>
      <xdr:spPr>
        <a:xfrm>
          <a:off x="68770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250825</xdr:colOff>
      <xdr:row>32</xdr:row>
      <xdr:rowOff>0</xdr:rowOff>
    </xdr:from>
    <xdr:to>
      <xdr:col>13</xdr:col>
      <xdr:colOff>250825</xdr:colOff>
      <xdr:row>32</xdr:row>
      <xdr:rowOff>0</xdr:rowOff>
    </xdr:to>
    <xdr:cxnSp macro="">
      <xdr:nvCxnSpPr>
        <xdr:cNvPr id="662" name="OpenSolver96"/>
        <xdr:cNvCxnSpPr>
          <a:stCxn id="660" idx="2"/>
          <a:endCxn id="661" idx="0"/>
        </xdr:cNvCxnSpPr>
      </xdr:nvCxnSpPr>
      <xdr:spPr>
        <a:xfrm>
          <a:off x="7127875" y="53213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60325</xdr:colOff>
      <xdr:row>31</xdr:row>
      <xdr:rowOff>38100</xdr:rowOff>
    </xdr:from>
    <xdr:to>
      <xdr:col>13</xdr:col>
      <xdr:colOff>441325</xdr:colOff>
      <xdr:row>32</xdr:row>
      <xdr:rowOff>127000</xdr:rowOff>
    </xdr:to>
    <xdr:sp macro="" textlink="">
      <xdr:nvSpPr>
        <xdr:cNvPr id="663" name="OpenSolver97"/>
        <xdr:cNvSpPr/>
      </xdr:nvSpPr>
      <xdr:spPr>
        <a:xfrm>
          <a:off x="693737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31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664" name="OpenSolver98"/>
        <xdr:cNvSpPr/>
      </xdr:nvSpPr>
      <xdr:spPr>
        <a:xfrm>
          <a:off x="737870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0</xdr:colOff>
      <xdr:row>32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665" name="OpenSolver99"/>
        <xdr:cNvSpPr/>
      </xdr:nvSpPr>
      <xdr:spPr>
        <a:xfrm>
          <a:off x="737870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250825</xdr:colOff>
      <xdr:row>32</xdr:row>
      <xdr:rowOff>0</xdr:rowOff>
    </xdr:from>
    <xdr:to>
      <xdr:col>14</xdr:col>
      <xdr:colOff>250825</xdr:colOff>
      <xdr:row>32</xdr:row>
      <xdr:rowOff>0</xdr:rowOff>
    </xdr:to>
    <xdr:cxnSp macro="">
      <xdr:nvCxnSpPr>
        <xdr:cNvPr id="666" name="OpenSolver100"/>
        <xdr:cNvCxnSpPr>
          <a:stCxn id="664" idx="2"/>
          <a:endCxn id="665" idx="0"/>
        </xdr:cNvCxnSpPr>
      </xdr:nvCxnSpPr>
      <xdr:spPr>
        <a:xfrm>
          <a:off x="7629525" y="53213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60325</xdr:colOff>
      <xdr:row>31</xdr:row>
      <xdr:rowOff>38100</xdr:rowOff>
    </xdr:from>
    <xdr:to>
      <xdr:col>14</xdr:col>
      <xdr:colOff>441325</xdr:colOff>
      <xdr:row>32</xdr:row>
      <xdr:rowOff>127000</xdr:rowOff>
    </xdr:to>
    <xdr:sp macro="" textlink="">
      <xdr:nvSpPr>
        <xdr:cNvPr id="667" name="OpenSolver101"/>
        <xdr:cNvSpPr/>
      </xdr:nvSpPr>
      <xdr:spPr>
        <a:xfrm>
          <a:off x="743902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31</xdr:row>
      <xdr:rowOff>0</xdr:rowOff>
    </xdr:from>
    <xdr:to>
      <xdr:col>16</xdr:col>
      <xdr:colOff>0</xdr:colOff>
      <xdr:row>32</xdr:row>
      <xdr:rowOff>0</xdr:rowOff>
    </xdr:to>
    <xdr:sp macro="" textlink="">
      <xdr:nvSpPr>
        <xdr:cNvPr id="668" name="OpenSolver102"/>
        <xdr:cNvSpPr/>
      </xdr:nvSpPr>
      <xdr:spPr>
        <a:xfrm>
          <a:off x="788035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0</xdr:colOff>
      <xdr:row>32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669" name="OpenSolver103"/>
        <xdr:cNvSpPr/>
      </xdr:nvSpPr>
      <xdr:spPr>
        <a:xfrm>
          <a:off x="78803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250825</xdr:colOff>
      <xdr:row>32</xdr:row>
      <xdr:rowOff>0</xdr:rowOff>
    </xdr:from>
    <xdr:to>
      <xdr:col>15</xdr:col>
      <xdr:colOff>250825</xdr:colOff>
      <xdr:row>32</xdr:row>
      <xdr:rowOff>0</xdr:rowOff>
    </xdr:to>
    <xdr:cxnSp macro="">
      <xdr:nvCxnSpPr>
        <xdr:cNvPr id="670" name="OpenSolver104"/>
        <xdr:cNvCxnSpPr>
          <a:stCxn id="668" idx="2"/>
          <a:endCxn id="669" idx="0"/>
        </xdr:cNvCxnSpPr>
      </xdr:nvCxnSpPr>
      <xdr:spPr>
        <a:xfrm>
          <a:off x="8131175" y="53213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60325</xdr:colOff>
      <xdr:row>31</xdr:row>
      <xdr:rowOff>38100</xdr:rowOff>
    </xdr:from>
    <xdr:to>
      <xdr:col>15</xdr:col>
      <xdr:colOff>441325</xdr:colOff>
      <xdr:row>32</xdr:row>
      <xdr:rowOff>127000</xdr:rowOff>
    </xdr:to>
    <xdr:sp macro="" textlink="">
      <xdr:nvSpPr>
        <xdr:cNvPr id="671" name="OpenSolver105"/>
        <xdr:cNvSpPr/>
      </xdr:nvSpPr>
      <xdr:spPr>
        <a:xfrm>
          <a:off x="794067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31</xdr:row>
      <xdr:rowOff>0</xdr:rowOff>
    </xdr:from>
    <xdr:to>
      <xdr:col>17</xdr:col>
      <xdr:colOff>0</xdr:colOff>
      <xdr:row>32</xdr:row>
      <xdr:rowOff>0</xdr:rowOff>
    </xdr:to>
    <xdr:sp macro="" textlink="">
      <xdr:nvSpPr>
        <xdr:cNvPr id="672" name="OpenSolver106"/>
        <xdr:cNvSpPr/>
      </xdr:nvSpPr>
      <xdr:spPr>
        <a:xfrm>
          <a:off x="838200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0</xdr:colOff>
      <xdr:row>32</xdr:row>
      <xdr:rowOff>0</xdr:rowOff>
    </xdr:from>
    <xdr:to>
      <xdr:col>17</xdr:col>
      <xdr:colOff>0</xdr:colOff>
      <xdr:row>33</xdr:row>
      <xdr:rowOff>0</xdr:rowOff>
    </xdr:to>
    <xdr:sp macro="" textlink="">
      <xdr:nvSpPr>
        <xdr:cNvPr id="673" name="OpenSolver107"/>
        <xdr:cNvSpPr/>
      </xdr:nvSpPr>
      <xdr:spPr>
        <a:xfrm>
          <a:off x="838200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250825</xdr:colOff>
      <xdr:row>32</xdr:row>
      <xdr:rowOff>0</xdr:rowOff>
    </xdr:from>
    <xdr:to>
      <xdr:col>16</xdr:col>
      <xdr:colOff>250825</xdr:colOff>
      <xdr:row>32</xdr:row>
      <xdr:rowOff>0</xdr:rowOff>
    </xdr:to>
    <xdr:cxnSp macro="">
      <xdr:nvCxnSpPr>
        <xdr:cNvPr id="674" name="OpenSolver108"/>
        <xdr:cNvCxnSpPr>
          <a:stCxn id="672" idx="2"/>
          <a:endCxn id="673" idx="0"/>
        </xdr:cNvCxnSpPr>
      </xdr:nvCxnSpPr>
      <xdr:spPr>
        <a:xfrm>
          <a:off x="8632825" y="53213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60325</xdr:colOff>
      <xdr:row>31</xdr:row>
      <xdr:rowOff>38100</xdr:rowOff>
    </xdr:from>
    <xdr:to>
      <xdr:col>16</xdr:col>
      <xdr:colOff>441325</xdr:colOff>
      <xdr:row>32</xdr:row>
      <xdr:rowOff>127000</xdr:rowOff>
    </xdr:to>
    <xdr:sp macro="" textlink="">
      <xdr:nvSpPr>
        <xdr:cNvPr id="675" name="OpenSolver109"/>
        <xdr:cNvSpPr/>
      </xdr:nvSpPr>
      <xdr:spPr>
        <a:xfrm>
          <a:off x="844232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18</xdr:col>
      <xdr:colOff>0</xdr:colOff>
      <xdr:row>32</xdr:row>
      <xdr:rowOff>0</xdr:rowOff>
    </xdr:to>
    <xdr:sp macro="" textlink="">
      <xdr:nvSpPr>
        <xdr:cNvPr id="676" name="OpenSolver110"/>
        <xdr:cNvSpPr/>
      </xdr:nvSpPr>
      <xdr:spPr>
        <a:xfrm>
          <a:off x="8883650" y="51562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17</xdr:col>
      <xdr:colOff>0</xdr:colOff>
      <xdr:row>32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677" name="OpenSolver111"/>
        <xdr:cNvSpPr/>
      </xdr:nvSpPr>
      <xdr:spPr>
        <a:xfrm>
          <a:off x="8883650" y="53213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17</xdr:col>
      <xdr:colOff>250825</xdr:colOff>
      <xdr:row>32</xdr:row>
      <xdr:rowOff>0</xdr:rowOff>
    </xdr:from>
    <xdr:to>
      <xdr:col>17</xdr:col>
      <xdr:colOff>250825</xdr:colOff>
      <xdr:row>32</xdr:row>
      <xdr:rowOff>0</xdr:rowOff>
    </xdr:to>
    <xdr:cxnSp macro="">
      <xdr:nvCxnSpPr>
        <xdr:cNvPr id="678" name="OpenSolver112"/>
        <xdr:cNvCxnSpPr>
          <a:stCxn id="676" idx="2"/>
          <a:endCxn id="677" idx="0"/>
        </xdr:cNvCxnSpPr>
      </xdr:nvCxnSpPr>
      <xdr:spPr>
        <a:xfrm>
          <a:off x="9134475" y="53213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60325</xdr:colOff>
      <xdr:row>31</xdr:row>
      <xdr:rowOff>38100</xdr:rowOff>
    </xdr:from>
    <xdr:to>
      <xdr:col>17</xdr:col>
      <xdr:colOff>441325</xdr:colOff>
      <xdr:row>32</xdr:row>
      <xdr:rowOff>127000</xdr:rowOff>
    </xdr:to>
    <xdr:sp macro="" textlink="">
      <xdr:nvSpPr>
        <xdr:cNvPr id="679" name="OpenSolver113"/>
        <xdr:cNvSpPr/>
      </xdr:nvSpPr>
      <xdr:spPr>
        <a:xfrm>
          <a:off x="8943975" y="519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" textlink="">
      <xdr:nvSpPr>
        <xdr:cNvPr id="680" name="OpenSolver114"/>
        <xdr:cNvSpPr/>
      </xdr:nvSpPr>
      <xdr:spPr>
        <a:xfrm>
          <a:off x="236220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681" name="OpenSolver115"/>
        <xdr:cNvSpPr/>
      </xdr:nvSpPr>
      <xdr:spPr>
        <a:xfrm>
          <a:off x="236220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250825</xdr:colOff>
      <xdr:row>34</xdr:row>
      <xdr:rowOff>0</xdr:rowOff>
    </xdr:from>
    <xdr:to>
      <xdr:col>4</xdr:col>
      <xdr:colOff>250825</xdr:colOff>
      <xdr:row>34</xdr:row>
      <xdr:rowOff>0</xdr:rowOff>
    </xdr:to>
    <xdr:cxnSp macro="">
      <xdr:nvCxnSpPr>
        <xdr:cNvPr id="682" name="OpenSolver116"/>
        <xdr:cNvCxnSpPr>
          <a:stCxn id="680" idx="2"/>
          <a:endCxn id="681" idx="0"/>
        </xdr:cNvCxnSpPr>
      </xdr:nvCxnSpPr>
      <xdr:spPr>
        <a:xfrm>
          <a:off x="2613025" y="56515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60325</xdr:colOff>
      <xdr:row>33</xdr:row>
      <xdr:rowOff>38100</xdr:rowOff>
    </xdr:from>
    <xdr:to>
      <xdr:col>4</xdr:col>
      <xdr:colOff>441325</xdr:colOff>
      <xdr:row>34</xdr:row>
      <xdr:rowOff>127000</xdr:rowOff>
    </xdr:to>
    <xdr:sp macro="" textlink="">
      <xdr:nvSpPr>
        <xdr:cNvPr id="683" name="OpenSolver117"/>
        <xdr:cNvSpPr/>
      </xdr:nvSpPr>
      <xdr:spPr>
        <a:xfrm>
          <a:off x="242252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33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684" name="OpenSolver118"/>
        <xdr:cNvSpPr/>
      </xdr:nvSpPr>
      <xdr:spPr>
        <a:xfrm>
          <a:off x="286385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0</xdr:colOff>
      <xdr:row>34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685" name="OpenSolver119"/>
        <xdr:cNvSpPr/>
      </xdr:nvSpPr>
      <xdr:spPr>
        <a:xfrm>
          <a:off x="286385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250825</xdr:colOff>
      <xdr:row>34</xdr:row>
      <xdr:rowOff>0</xdr:rowOff>
    </xdr:from>
    <xdr:to>
      <xdr:col>5</xdr:col>
      <xdr:colOff>250825</xdr:colOff>
      <xdr:row>34</xdr:row>
      <xdr:rowOff>0</xdr:rowOff>
    </xdr:to>
    <xdr:cxnSp macro="">
      <xdr:nvCxnSpPr>
        <xdr:cNvPr id="686" name="OpenSolver120"/>
        <xdr:cNvCxnSpPr>
          <a:stCxn id="684" idx="2"/>
          <a:endCxn id="685" idx="0"/>
        </xdr:cNvCxnSpPr>
      </xdr:nvCxnSpPr>
      <xdr:spPr>
        <a:xfrm>
          <a:off x="3114675" y="56515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60325</xdr:colOff>
      <xdr:row>33</xdr:row>
      <xdr:rowOff>38100</xdr:rowOff>
    </xdr:from>
    <xdr:to>
      <xdr:col>5</xdr:col>
      <xdr:colOff>441325</xdr:colOff>
      <xdr:row>34</xdr:row>
      <xdr:rowOff>127000</xdr:rowOff>
    </xdr:to>
    <xdr:sp macro="" textlink="">
      <xdr:nvSpPr>
        <xdr:cNvPr id="687" name="OpenSolver121"/>
        <xdr:cNvSpPr/>
      </xdr:nvSpPr>
      <xdr:spPr>
        <a:xfrm>
          <a:off x="292417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33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688" name="OpenSolver122"/>
        <xdr:cNvSpPr/>
      </xdr:nvSpPr>
      <xdr:spPr>
        <a:xfrm>
          <a:off x="336550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0</xdr:colOff>
      <xdr:row>34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689" name="OpenSolver123"/>
        <xdr:cNvSpPr/>
      </xdr:nvSpPr>
      <xdr:spPr>
        <a:xfrm>
          <a:off x="336550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250825</xdr:colOff>
      <xdr:row>34</xdr:row>
      <xdr:rowOff>0</xdr:rowOff>
    </xdr:from>
    <xdr:to>
      <xdr:col>6</xdr:col>
      <xdr:colOff>250825</xdr:colOff>
      <xdr:row>34</xdr:row>
      <xdr:rowOff>0</xdr:rowOff>
    </xdr:to>
    <xdr:cxnSp macro="">
      <xdr:nvCxnSpPr>
        <xdr:cNvPr id="690" name="OpenSolver124"/>
        <xdr:cNvCxnSpPr>
          <a:stCxn id="688" idx="2"/>
          <a:endCxn id="689" idx="0"/>
        </xdr:cNvCxnSpPr>
      </xdr:nvCxnSpPr>
      <xdr:spPr>
        <a:xfrm>
          <a:off x="3616325" y="5651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60325</xdr:colOff>
      <xdr:row>33</xdr:row>
      <xdr:rowOff>38100</xdr:rowOff>
    </xdr:from>
    <xdr:to>
      <xdr:col>6</xdr:col>
      <xdr:colOff>441325</xdr:colOff>
      <xdr:row>34</xdr:row>
      <xdr:rowOff>127000</xdr:rowOff>
    </xdr:to>
    <xdr:sp macro="" textlink="">
      <xdr:nvSpPr>
        <xdr:cNvPr id="691" name="OpenSolver125"/>
        <xdr:cNvSpPr/>
      </xdr:nvSpPr>
      <xdr:spPr>
        <a:xfrm>
          <a:off x="342582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692" name="OpenSolver126"/>
        <xdr:cNvSpPr/>
      </xdr:nvSpPr>
      <xdr:spPr>
        <a:xfrm>
          <a:off x="386715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693" name="OpenSolver127"/>
        <xdr:cNvSpPr/>
      </xdr:nvSpPr>
      <xdr:spPr>
        <a:xfrm>
          <a:off x="386715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</xdr:col>
      <xdr:colOff>250825</xdr:colOff>
      <xdr:row>34</xdr:row>
      <xdr:rowOff>0</xdr:rowOff>
    </xdr:from>
    <xdr:to>
      <xdr:col>7</xdr:col>
      <xdr:colOff>250825</xdr:colOff>
      <xdr:row>34</xdr:row>
      <xdr:rowOff>0</xdr:rowOff>
    </xdr:to>
    <xdr:cxnSp macro="">
      <xdr:nvCxnSpPr>
        <xdr:cNvPr id="694" name="OpenSolver128"/>
        <xdr:cNvCxnSpPr>
          <a:stCxn id="692" idx="2"/>
          <a:endCxn id="693" idx="0"/>
        </xdr:cNvCxnSpPr>
      </xdr:nvCxnSpPr>
      <xdr:spPr>
        <a:xfrm>
          <a:off x="4117975" y="56515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</xdr:colOff>
      <xdr:row>33</xdr:row>
      <xdr:rowOff>38100</xdr:rowOff>
    </xdr:from>
    <xdr:to>
      <xdr:col>7</xdr:col>
      <xdr:colOff>441325</xdr:colOff>
      <xdr:row>34</xdr:row>
      <xdr:rowOff>127000</xdr:rowOff>
    </xdr:to>
    <xdr:sp macro="" textlink="">
      <xdr:nvSpPr>
        <xdr:cNvPr id="695" name="OpenSolver129"/>
        <xdr:cNvSpPr/>
      </xdr:nvSpPr>
      <xdr:spPr>
        <a:xfrm>
          <a:off x="392747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696" name="OpenSolver130"/>
        <xdr:cNvSpPr/>
      </xdr:nvSpPr>
      <xdr:spPr>
        <a:xfrm>
          <a:off x="436880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697" name="OpenSolver131"/>
        <xdr:cNvSpPr/>
      </xdr:nvSpPr>
      <xdr:spPr>
        <a:xfrm>
          <a:off x="436880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250825</xdr:colOff>
      <xdr:row>34</xdr:row>
      <xdr:rowOff>0</xdr:rowOff>
    </xdr:from>
    <xdr:to>
      <xdr:col>8</xdr:col>
      <xdr:colOff>250825</xdr:colOff>
      <xdr:row>34</xdr:row>
      <xdr:rowOff>0</xdr:rowOff>
    </xdr:to>
    <xdr:cxnSp macro="">
      <xdr:nvCxnSpPr>
        <xdr:cNvPr id="698" name="OpenSolver132"/>
        <xdr:cNvCxnSpPr>
          <a:stCxn id="696" idx="2"/>
          <a:endCxn id="697" idx="0"/>
        </xdr:cNvCxnSpPr>
      </xdr:nvCxnSpPr>
      <xdr:spPr>
        <a:xfrm>
          <a:off x="4619625" y="56515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60325</xdr:colOff>
      <xdr:row>33</xdr:row>
      <xdr:rowOff>38100</xdr:rowOff>
    </xdr:from>
    <xdr:to>
      <xdr:col>8</xdr:col>
      <xdr:colOff>441325</xdr:colOff>
      <xdr:row>34</xdr:row>
      <xdr:rowOff>127000</xdr:rowOff>
    </xdr:to>
    <xdr:sp macro="" textlink="">
      <xdr:nvSpPr>
        <xdr:cNvPr id="699" name="OpenSolver133"/>
        <xdr:cNvSpPr/>
      </xdr:nvSpPr>
      <xdr:spPr>
        <a:xfrm>
          <a:off x="442912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700" name="OpenSolver134"/>
        <xdr:cNvSpPr/>
      </xdr:nvSpPr>
      <xdr:spPr>
        <a:xfrm>
          <a:off x="487045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701" name="OpenSolver135"/>
        <xdr:cNvSpPr/>
      </xdr:nvSpPr>
      <xdr:spPr>
        <a:xfrm>
          <a:off x="487045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250825</xdr:colOff>
      <xdr:row>34</xdr:row>
      <xdr:rowOff>0</xdr:rowOff>
    </xdr:from>
    <xdr:to>
      <xdr:col>9</xdr:col>
      <xdr:colOff>250825</xdr:colOff>
      <xdr:row>34</xdr:row>
      <xdr:rowOff>0</xdr:rowOff>
    </xdr:to>
    <xdr:cxnSp macro="">
      <xdr:nvCxnSpPr>
        <xdr:cNvPr id="702" name="OpenSolver136"/>
        <xdr:cNvCxnSpPr>
          <a:stCxn id="700" idx="2"/>
          <a:endCxn id="701" idx="0"/>
        </xdr:cNvCxnSpPr>
      </xdr:nvCxnSpPr>
      <xdr:spPr>
        <a:xfrm>
          <a:off x="5121275" y="56515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60325</xdr:colOff>
      <xdr:row>33</xdr:row>
      <xdr:rowOff>38100</xdr:rowOff>
    </xdr:from>
    <xdr:to>
      <xdr:col>9</xdr:col>
      <xdr:colOff>441325</xdr:colOff>
      <xdr:row>34</xdr:row>
      <xdr:rowOff>127000</xdr:rowOff>
    </xdr:to>
    <xdr:sp macro="" textlink="">
      <xdr:nvSpPr>
        <xdr:cNvPr id="703" name="OpenSolver137"/>
        <xdr:cNvSpPr/>
      </xdr:nvSpPr>
      <xdr:spPr>
        <a:xfrm>
          <a:off x="493077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33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704" name="OpenSolver138"/>
        <xdr:cNvSpPr/>
      </xdr:nvSpPr>
      <xdr:spPr>
        <a:xfrm>
          <a:off x="537210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34</xdr:row>
      <xdr:rowOff>0</xdr:rowOff>
    </xdr:from>
    <xdr:to>
      <xdr:col>11</xdr:col>
      <xdr:colOff>0</xdr:colOff>
      <xdr:row>35</xdr:row>
      <xdr:rowOff>0</xdr:rowOff>
    </xdr:to>
    <xdr:sp macro="" textlink="">
      <xdr:nvSpPr>
        <xdr:cNvPr id="705" name="OpenSolver139"/>
        <xdr:cNvSpPr/>
      </xdr:nvSpPr>
      <xdr:spPr>
        <a:xfrm>
          <a:off x="537210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250825</xdr:colOff>
      <xdr:row>34</xdr:row>
      <xdr:rowOff>0</xdr:rowOff>
    </xdr:from>
    <xdr:to>
      <xdr:col>10</xdr:col>
      <xdr:colOff>250825</xdr:colOff>
      <xdr:row>34</xdr:row>
      <xdr:rowOff>0</xdr:rowOff>
    </xdr:to>
    <xdr:cxnSp macro="">
      <xdr:nvCxnSpPr>
        <xdr:cNvPr id="706" name="OpenSolver140"/>
        <xdr:cNvCxnSpPr>
          <a:stCxn id="704" idx="2"/>
          <a:endCxn id="705" idx="0"/>
        </xdr:cNvCxnSpPr>
      </xdr:nvCxnSpPr>
      <xdr:spPr>
        <a:xfrm>
          <a:off x="5622925" y="56515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60325</xdr:colOff>
      <xdr:row>33</xdr:row>
      <xdr:rowOff>38100</xdr:rowOff>
    </xdr:from>
    <xdr:to>
      <xdr:col>10</xdr:col>
      <xdr:colOff>441325</xdr:colOff>
      <xdr:row>34</xdr:row>
      <xdr:rowOff>127000</xdr:rowOff>
    </xdr:to>
    <xdr:sp macro="" textlink="">
      <xdr:nvSpPr>
        <xdr:cNvPr id="707" name="OpenSolver141"/>
        <xdr:cNvSpPr/>
      </xdr:nvSpPr>
      <xdr:spPr>
        <a:xfrm>
          <a:off x="543242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33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708" name="OpenSolver142"/>
        <xdr:cNvSpPr/>
      </xdr:nvSpPr>
      <xdr:spPr>
        <a:xfrm>
          <a:off x="587375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34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709" name="OpenSolver143"/>
        <xdr:cNvSpPr/>
      </xdr:nvSpPr>
      <xdr:spPr>
        <a:xfrm>
          <a:off x="587375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250825</xdr:colOff>
      <xdr:row>34</xdr:row>
      <xdr:rowOff>0</xdr:rowOff>
    </xdr:from>
    <xdr:to>
      <xdr:col>11</xdr:col>
      <xdr:colOff>250825</xdr:colOff>
      <xdr:row>34</xdr:row>
      <xdr:rowOff>0</xdr:rowOff>
    </xdr:to>
    <xdr:cxnSp macro="">
      <xdr:nvCxnSpPr>
        <xdr:cNvPr id="710" name="OpenSolver144"/>
        <xdr:cNvCxnSpPr>
          <a:stCxn id="708" idx="2"/>
          <a:endCxn id="709" idx="0"/>
        </xdr:cNvCxnSpPr>
      </xdr:nvCxnSpPr>
      <xdr:spPr>
        <a:xfrm>
          <a:off x="6124575" y="56515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60325</xdr:colOff>
      <xdr:row>33</xdr:row>
      <xdr:rowOff>38100</xdr:rowOff>
    </xdr:from>
    <xdr:to>
      <xdr:col>11</xdr:col>
      <xdr:colOff>441325</xdr:colOff>
      <xdr:row>34</xdr:row>
      <xdr:rowOff>127000</xdr:rowOff>
    </xdr:to>
    <xdr:sp macro="" textlink="">
      <xdr:nvSpPr>
        <xdr:cNvPr id="711" name="OpenSolver145"/>
        <xdr:cNvSpPr/>
      </xdr:nvSpPr>
      <xdr:spPr>
        <a:xfrm>
          <a:off x="593407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13</xdr:col>
      <xdr:colOff>0</xdr:colOff>
      <xdr:row>34</xdr:row>
      <xdr:rowOff>0</xdr:rowOff>
    </xdr:to>
    <xdr:sp macro="" textlink="">
      <xdr:nvSpPr>
        <xdr:cNvPr id="712" name="OpenSolver146"/>
        <xdr:cNvSpPr/>
      </xdr:nvSpPr>
      <xdr:spPr>
        <a:xfrm>
          <a:off x="637540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</xdr:col>
      <xdr:colOff>0</xdr:colOff>
      <xdr:row>34</xdr:row>
      <xdr:rowOff>0</xdr:rowOff>
    </xdr:from>
    <xdr:to>
      <xdr:col>13</xdr:col>
      <xdr:colOff>0</xdr:colOff>
      <xdr:row>35</xdr:row>
      <xdr:rowOff>0</xdr:rowOff>
    </xdr:to>
    <xdr:sp macro="" textlink="">
      <xdr:nvSpPr>
        <xdr:cNvPr id="713" name="OpenSolver147"/>
        <xdr:cNvSpPr/>
      </xdr:nvSpPr>
      <xdr:spPr>
        <a:xfrm>
          <a:off x="637540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</xdr:col>
      <xdr:colOff>250825</xdr:colOff>
      <xdr:row>34</xdr:row>
      <xdr:rowOff>0</xdr:rowOff>
    </xdr:from>
    <xdr:to>
      <xdr:col>12</xdr:col>
      <xdr:colOff>250825</xdr:colOff>
      <xdr:row>34</xdr:row>
      <xdr:rowOff>0</xdr:rowOff>
    </xdr:to>
    <xdr:cxnSp macro="">
      <xdr:nvCxnSpPr>
        <xdr:cNvPr id="714" name="OpenSolver148"/>
        <xdr:cNvCxnSpPr>
          <a:stCxn id="712" idx="2"/>
          <a:endCxn id="713" idx="0"/>
        </xdr:cNvCxnSpPr>
      </xdr:nvCxnSpPr>
      <xdr:spPr>
        <a:xfrm>
          <a:off x="6626225" y="56515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60325</xdr:colOff>
      <xdr:row>33</xdr:row>
      <xdr:rowOff>38100</xdr:rowOff>
    </xdr:from>
    <xdr:to>
      <xdr:col>12</xdr:col>
      <xdr:colOff>441325</xdr:colOff>
      <xdr:row>34</xdr:row>
      <xdr:rowOff>127000</xdr:rowOff>
    </xdr:to>
    <xdr:sp macro="" textlink="">
      <xdr:nvSpPr>
        <xdr:cNvPr id="715" name="OpenSolver149"/>
        <xdr:cNvSpPr/>
      </xdr:nvSpPr>
      <xdr:spPr>
        <a:xfrm>
          <a:off x="643572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33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716" name="OpenSolver150"/>
        <xdr:cNvSpPr/>
      </xdr:nvSpPr>
      <xdr:spPr>
        <a:xfrm>
          <a:off x="687705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0</xdr:colOff>
      <xdr:row>34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717" name="OpenSolver151"/>
        <xdr:cNvSpPr/>
      </xdr:nvSpPr>
      <xdr:spPr>
        <a:xfrm>
          <a:off x="687705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250825</xdr:colOff>
      <xdr:row>34</xdr:row>
      <xdr:rowOff>0</xdr:rowOff>
    </xdr:from>
    <xdr:to>
      <xdr:col>13</xdr:col>
      <xdr:colOff>250825</xdr:colOff>
      <xdr:row>34</xdr:row>
      <xdr:rowOff>0</xdr:rowOff>
    </xdr:to>
    <xdr:cxnSp macro="">
      <xdr:nvCxnSpPr>
        <xdr:cNvPr id="718" name="OpenSolver152"/>
        <xdr:cNvCxnSpPr>
          <a:stCxn id="716" idx="2"/>
          <a:endCxn id="717" idx="0"/>
        </xdr:cNvCxnSpPr>
      </xdr:nvCxnSpPr>
      <xdr:spPr>
        <a:xfrm>
          <a:off x="7127875" y="5651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60325</xdr:colOff>
      <xdr:row>33</xdr:row>
      <xdr:rowOff>38100</xdr:rowOff>
    </xdr:from>
    <xdr:to>
      <xdr:col>13</xdr:col>
      <xdr:colOff>441325</xdr:colOff>
      <xdr:row>34</xdr:row>
      <xdr:rowOff>127000</xdr:rowOff>
    </xdr:to>
    <xdr:sp macro="" textlink="">
      <xdr:nvSpPr>
        <xdr:cNvPr id="719" name="OpenSolver153"/>
        <xdr:cNvSpPr/>
      </xdr:nvSpPr>
      <xdr:spPr>
        <a:xfrm>
          <a:off x="693737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33</xdr:row>
      <xdr:rowOff>0</xdr:rowOff>
    </xdr:from>
    <xdr:to>
      <xdr:col>15</xdr:col>
      <xdr:colOff>0</xdr:colOff>
      <xdr:row>34</xdr:row>
      <xdr:rowOff>0</xdr:rowOff>
    </xdr:to>
    <xdr:sp macro="" textlink="">
      <xdr:nvSpPr>
        <xdr:cNvPr id="720" name="OpenSolver154"/>
        <xdr:cNvSpPr/>
      </xdr:nvSpPr>
      <xdr:spPr>
        <a:xfrm>
          <a:off x="737870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0</xdr:colOff>
      <xdr:row>34</xdr:row>
      <xdr:rowOff>0</xdr:rowOff>
    </xdr:from>
    <xdr:to>
      <xdr:col>15</xdr:col>
      <xdr:colOff>0</xdr:colOff>
      <xdr:row>35</xdr:row>
      <xdr:rowOff>0</xdr:rowOff>
    </xdr:to>
    <xdr:sp macro="" textlink="">
      <xdr:nvSpPr>
        <xdr:cNvPr id="721" name="OpenSolver155"/>
        <xdr:cNvSpPr/>
      </xdr:nvSpPr>
      <xdr:spPr>
        <a:xfrm>
          <a:off x="737870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250825</xdr:colOff>
      <xdr:row>34</xdr:row>
      <xdr:rowOff>0</xdr:rowOff>
    </xdr:from>
    <xdr:to>
      <xdr:col>14</xdr:col>
      <xdr:colOff>250825</xdr:colOff>
      <xdr:row>34</xdr:row>
      <xdr:rowOff>0</xdr:rowOff>
    </xdr:to>
    <xdr:cxnSp macro="">
      <xdr:nvCxnSpPr>
        <xdr:cNvPr id="722" name="OpenSolver156"/>
        <xdr:cNvCxnSpPr>
          <a:stCxn id="720" idx="2"/>
          <a:endCxn id="721" idx="0"/>
        </xdr:cNvCxnSpPr>
      </xdr:nvCxnSpPr>
      <xdr:spPr>
        <a:xfrm>
          <a:off x="7629525" y="56515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60325</xdr:colOff>
      <xdr:row>33</xdr:row>
      <xdr:rowOff>38100</xdr:rowOff>
    </xdr:from>
    <xdr:to>
      <xdr:col>14</xdr:col>
      <xdr:colOff>441325</xdr:colOff>
      <xdr:row>34</xdr:row>
      <xdr:rowOff>127000</xdr:rowOff>
    </xdr:to>
    <xdr:sp macro="" textlink="">
      <xdr:nvSpPr>
        <xdr:cNvPr id="723" name="OpenSolver157"/>
        <xdr:cNvSpPr/>
      </xdr:nvSpPr>
      <xdr:spPr>
        <a:xfrm>
          <a:off x="743902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33</xdr:row>
      <xdr:rowOff>0</xdr:rowOff>
    </xdr:from>
    <xdr:to>
      <xdr:col>16</xdr:col>
      <xdr:colOff>0</xdr:colOff>
      <xdr:row>34</xdr:row>
      <xdr:rowOff>0</xdr:rowOff>
    </xdr:to>
    <xdr:sp macro="" textlink="">
      <xdr:nvSpPr>
        <xdr:cNvPr id="724" name="OpenSolver158"/>
        <xdr:cNvSpPr/>
      </xdr:nvSpPr>
      <xdr:spPr>
        <a:xfrm>
          <a:off x="788035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0</xdr:colOff>
      <xdr:row>34</xdr:row>
      <xdr:rowOff>0</xdr:rowOff>
    </xdr:from>
    <xdr:to>
      <xdr:col>16</xdr:col>
      <xdr:colOff>0</xdr:colOff>
      <xdr:row>35</xdr:row>
      <xdr:rowOff>0</xdr:rowOff>
    </xdr:to>
    <xdr:sp macro="" textlink="">
      <xdr:nvSpPr>
        <xdr:cNvPr id="725" name="OpenSolver159"/>
        <xdr:cNvSpPr/>
      </xdr:nvSpPr>
      <xdr:spPr>
        <a:xfrm>
          <a:off x="788035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250825</xdr:colOff>
      <xdr:row>34</xdr:row>
      <xdr:rowOff>0</xdr:rowOff>
    </xdr:from>
    <xdr:to>
      <xdr:col>15</xdr:col>
      <xdr:colOff>250825</xdr:colOff>
      <xdr:row>34</xdr:row>
      <xdr:rowOff>0</xdr:rowOff>
    </xdr:to>
    <xdr:cxnSp macro="">
      <xdr:nvCxnSpPr>
        <xdr:cNvPr id="726" name="OpenSolver160"/>
        <xdr:cNvCxnSpPr>
          <a:stCxn id="724" idx="2"/>
          <a:endCxn id="725" idx="0"/>
        </xdr:cNvCxnSpPr>
      </xdr:nvCxnSpPr>
      <xdr:spPr>
        <a:xfrm>
          <a:off x="8131175" y="56515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60325</xdr:colOff>
      <xdr:row>33</xdr:row>
      <xdr:rowOff>38100</xdr:rowOff>
    </xdr:from>
    <xdr:to>
      <xdr:col>15</xdr:col>
      <xdr:colOff>441325</xdr:colOff>
      <xdr:row>34</xdr:row>
      <xdr:rowOff>127000</xdr:rowOff>
    </xdr:to>
    <xdr:sp macro="" textlink="">
      <xdr:nvSpPr>
        <xdr:cNvPr id="727" name="OpenSolver161"/>
        <xdr:cNvSpPr/>
      </xdr:nvSpPr>
      <xdr:spPr>
        <a:xfrm>
          <a:off x="794067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33</xdr:row>
      <xdr:rowOff>0</xdr:rowOff>
    </xdr:from>
    <xdr:to>
      <xdr:col>17</xdr:col>
      <xdr:colOff>0</xdr:colOff>
      <xdr:row>34</xdr:row>
      <xdr:rowOff>0</xdr:rowOff>
    </xdr:to>
    <xdr:sp macro="" textlink="">
      <xdr:nvSpPr>
        <xdr:cNvPr id="728" name="OpenSolver162"/>
        <xdr:cNvSpPr/>
      </xdr:nvSpPr>
      <xdr:spPr>
        <a:xfrm>
          <a:off x="838200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0</xdr:colOff>
      <xdr:row>34</xdr:row>
      <xdr:rowOff>0</xdr:rowOff>
    </xdr:from>
    <xdr:to>
      <xdr:col>17</xdr:col>
      <xdr:colOff>0</xdr:colOff>
      <xdr:row>35</xdr:row>
      <xdr:rowOff>0</xdr:rowOff>
    </xdr:to>
    <xdr:sp macro="" textlink="">
      <xdr:nvSpPr>
        <xdr:cNvPr id="729" name="OpenSolver163"/>
        <xdr:cNvSpPr/>
      </xdr:nvSpPr>
      <xdr:spPr>
        <a:xfrm>
          <a:off x="838200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250825</xdr:colOff>
      <xdr:row>34</xdr:row>
      <xdr:rowOff>0</xdr:rowOff>
    </xdr:from>
    <xdr:to>
      <xdr:col>16</xdr:col>
      <xdr:colOff>250825</xdr:colOff>
      <xdr:row>34</xdr:row>
      <xdr:rowOff>0</xdr:rowOff>
    </xdr:to>
    <xdr:cxnSp macro="">
      <xdr:nvCxnSpPr>
        <xdr:cNvPr id="730" name="OpenSolver164"/>
        <xdr:cNvCxnSpPr>
          <a:stCxn id="728" idx="2"/>
          <a:endCxn id="729" idx="0"/>
        </xdr:cNvCxnSpPr>
      </xdr:nvCxnSpPr>
      <xdr:spPr>
        <a:xfrm>
          <a:off x="8632825" y="56515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60325</xdr:colOff>
      <xdr:row>33</xdr:row>
      <xdr:rowOff>38100</xdr:rowOff>
    </xdr:from>
    <xdr:to>
      <xdr:col>16</xdr:col>
      <xdr:colOff>441325</xdr:colOff>
      <xdr:row>34</xdr:row>
      <xdr:rowOff>127000</xdr:rowOff>
    </xdr:to>
    <xdr:sp macro="" textlink="">
      <xdr:nvSpPr>
        <xdr:cNvPr id="731" name="OpenSolver165"/>
        <xdr:cNvSpPr/>
      </xdr:nvSpPr>
      <xdr:spPr>
        <a:xfrm>
          <a:off x="844232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33</xdr:row>
      <xdr:rowOff>0</xdr:rowOff>
    </xdr:from>
    <xdr:to>
      <xdr:col>18</xdr:col>
      <xdr:colOff>0</xdr:colOff>
      <xdr:row>34</xdr:row>
      <xdr:rowOff>0</xdr:rowOff>
    </xdr:to>
    <xdr:sp macro="" textlink="">
      <xdr:nvSpPr>
        <xdr:cNvPr id="732" name="OpenSolver166"/>
        <xdr:cNvSpPr/>
      </xdr:nvSpPr>
      <xdr:spPr>
        <a:xfrm>
          <a:off x="8883650" y="54864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17</xdr:col>
      <xdr:colOff>0</xdr:colOff>
      <xdr:row>34</xdr:row>
      <xdr:rowOff>0</xdr:rowOff>
    </xdr:from>
    <xdr:to>
      <xdr:col>18</xdr:col>
      <xdr:colOff>0</xdr:colOff>
      <xdr:row>35</xdr:row>
      <xdr:rowOff>0</xdr:rowOff>
    </xdr:to>
    <xdr:sp macro="" textlink="">
      <xdr:nvSpPr>
        <xdr:cNvPr id="733" name="OpenSolver167"/>
        <xdr:cNvSpPr/>
      </xdr:nvSpPr>
      <xdr:spPr>
        <a:xfrm>
          <a:off x="8883650" y="56515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17</xdr:col>
      <xdr:colOff>250825</xdr:colOff>
      <xdr:row>34</xdr:row>
      <xdr:rowOff>0</xdr:rowOff>
    </xdr:from>
    <xdr:to>
      <xdr:col>17</xdr:col>
      <xdr:colOff>250825</xdr:colOff>
      <xdr:row>34</xdr:row>
      <xdr:rowOff>0</xdr:rowOff>
    </xdr:to>
    <xdr:cxnSp macro="">
      <xdr:nvCxnSpPr>
        <xdr:cNvPr id="734" name="OpenSolver168"/>
        <xdr:cNvCxnSpPr>
          <a:stCxn id="732" idx="2"/>
          <a:endCxn id="733" idx="0"/>
        </xdr:cNvCxnSpPr>
      </xdr:nvCxnSpPr>
      <xdr:spPr>
        <a:xfrm>
          <a:off x="9134475" y="56515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60325</xdr:colOff>
      <xdr:row>33</xdr:row>
      <xdr:rowOff>38100</xdr:rowOff>
    </xdr:from>
    <xdr:to>
      <xdr:col>17</xdr:col>
      <xdr:colOff>441325</xdr:colOff>
      <xdr:row>34</xdr:row>
      <xdr:rowOff>127000</xdr:rowOff>
    </xdr:to>
    <xdr:sp macro="" textlink="">
      <xdr:nvSpPr>
        <xdr:cNvPr id="735" name="OpenSolver169"/>
        <xdr:cNvSpPr/>
      </xdr:nvSpPr>
      <xdr:spPr>
        <a:xfrm>
          <a:off x="8943975" y="5524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736" name="OpenSolver170"/>
        <xdr:cNvSpPr/>
      </xdr:nvSpPr>
      <xdr:spPr>
        <a:xfrm>
          <a:off x="236220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" textlink="">
      <xdr:nvSpPr>
        <xdr:cNvPr id="737" name="OpenSolver171"/>
        <xdr:cNvSpPr/>
      </xdr:nvSpPr>
      <xdr:spPr>
        <a:xfrm>
          <a:off x="236220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250825</xdr:colOff>
      <xdr:row>36</xdr:row>
      <xdr:rowOff>0</xdr:rowOff>
    </xdr:from>
    <xdr:to>
      <xdr:col>4</xdr:col>
      <xdr:colOff>250825</xdr:colOff>
      <xdr:row>36</xdr:row>
      <xdr:rowOff>0</xdr:rowOff>
    </xdr:to>
    <xdr:cxnSp macro="">
      <xdr:nvCxnSpPr>
        <xdr:cNvPr id="738" name="OpenSolver172"/>
        <xdr:cNvCxnSpPr>
          <a:stCxn id="736" idx="2"/>
          <a:endCxn id="737" idx="0"/>
        </xdr:cNvCxnSpPr>
      </xdr:nvCxnSpPr>
      <xdr:spPr>
        <a:xfrm>
          <a:off x="2613025" y="59817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60325</xdr:colOff>
      <xdr:row>35</xdr:row>
      <xdr:rowOff>38100</xdr:rowOff>
    </xdr:from>
    <xdr:to>
      <xdr:col>4</xdr:col>
      <xdr:colOff>441325</xdr:colOff>
      <xdr:row>36</xdr:row>
      <xdr:rowOff>127000</xdr:rowOff>
    </xdr:to>
    <xdr:sp macro="" textlink="">
      <xdr:nvSpPr>
        <xdr:cNvPr id="739" name="OpenSolver173"/>
        <xdr:cNvSpPr/>
      </xdr:nvSpPr>
      <xdr:spPr>
        <a:xfrm>
          <a:off x="242252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35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740" name="OpenSolver174"/>
        <xdr:cNvSpPr/>
      </xdr:nvSpPr>
      <xdr:spPr>
        <a:xfrm>
          <a:off x="286385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0</xdr:colOff>
      <xdr:row>36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741" name="OpenSolver175"/>
        <xdr:cNvSpPr/>
      </xdr:nvSpPr>
      <xdr:spPr>
        <a:xfrm>
          <a:off x="286385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250825</xdr:colOff>
      <xdr:row>36</xdr:row>
      <xdr:rowOff>0</xdr:rowOff>
    </xdr:from>
    <xdr:to>
      <xdr:col>5</xdr:col>
      <xdr:colOff>250825</xdr:colOff>
      <xdr:row>36</xdr:row>
      <xdr:rowOff>0</xdr:rowOff>
    </xdr:to>
    <xdr:cxnSp macro="">
      <xdr:nvCxnSpPr>
        <xdr:cNvPr id="742" name="OpenSolver176"/>
        <xdr:cNvCxnSpPr>
          <a:stCxn id="740" idx="2"/>
          <a:endCxn id="741" idx="0"/>
        </xdr:cNvCxnSpPr>
      </xdr:nvCxnSpPr>
      <xdr:spPr>
        <a:xfrm>
          <a:off x="3114675" y="59817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60325</xdr:colOff>
      <xdr:row>35</xdr:row>
      <xdr:rowOff>38100</xdr:rowOff>
    </xdr:from>
    <xdr:to>
      <xdr:col>5</xdr:col>
      <xdr:colOff>441325</xdr:colOff>
      <xdr:row>36</xdr:row>
      <xdr:rowOff>127000</xdr:rowOff>
    </xdr:to>
    <xdr:sp macro="" textlink="">
      <xdr:nvSpPr>
        <xdr:cNvPr id="743" name="OpenSolver177"/>
        <xdr:cNvSpPr/>
      </xdr:nvSpPr>
      <xdr:spPr>
        <a:xfrm>
          <a:off x="292417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35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744" name="OpenSolver178"/>
        <xdr:cNvSpPr/>
      </xdr:nvSpPr>
      <xdr:spPr>
        <a:xfrm>
          <a:off x="336550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0</xdr:colOff>
      <xdr:row>36</xdr:row>
      <xdr:rowOff>0</xdr:rowOff>
    </xdr:from>
    <xdr:to>
      <xdr:col>7</xdr:col>
      <xdr:colOff>0</xdr:colOff>
      <xdr:row>37</xdr:row>
      <xdr:rowOff>0</xdr:rowOff>
    </xdr:to>
    <xdr:sp macro="" textlink="">
      <xdr:nvSpPr>
        <xdr:cNvPr id="745" name="OpenSolver179"/>
        <xdr:cNvSpPr/>
      </xdr:nvSpPr>
      <xdr:spPr>
        <a:xfrm>
          <a:off x="336550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250825</xdr:colOff>
      <xdr:row>36</xdr:row>
      <xdr:rowOff>0</xdr:rowOff>
    </xdr:from>
    <xdr:to>
      <xdr:col>6</xdr:col>
      <xdr:colOff>250825</xdr:colOff>
      <xdr:row>36</xdr:row>
      <xdr:rowOff>0</xdr:rowOff>
    </xdr:to>
    <xdr:cxnSp macro="">
      <xdr:nvCxnSpPr>
        <xdr:cNvPr id="746" name="OpenSolver180"/>
        <xdr:cNvCxnSpPr>
          <a:stCxn id="744" idx="2"/>
          <a:endCxn id="745" idx="0"/>
        </xdr:cNvCxnSpPr>
      </xdr:nvCxnSpPr>
      <xdr:spPr>
        <a:xfrm>
          <a:off x="3616325" y="59817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60325</xdr:colOff>
      <xdr:row>35</xdr:row>
      <xdr:rowOff>38100</xdr:rowOff>
    </xdr:from>
    <xdr:to>
      <xdr:col>6</xdr:col>
      <xdr:colOff>441325</xdr:colOff>
      <xdr:row>36</xdr:row>
      <xdr:rowOff>127000</xdr:rowOff>
    </xdr:to>
    <xdr:sp macro="" textlink="">
      <xdr:nvSpPr>
        <xdr:cNvPr id="747" name="OpenSolver181"/>
        <xdr:cNvSpPr/>
      </xdr:nvSpPr>
      <xdr:spPr>
        <a:xfrm>
          <a:off x="342582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748" name="OpenSolver182"/>
        <xdr:cNvSpPr/>
      </xdr:nvSpPr>
      <xdr:spPr>
        <a:xfrm>
          <a:off x="386715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749" name="OpenSolver183"/>
        <xdr:cNvSpPr/>
      </xdr:nvSpPr>
      <xdr:spPr>
        <a:xfrm>
          <a:off x="386715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</xdr:col>
      <xdr:colOff>250825</xdr:colOff>
      <xdr:row>36</xdr:row>
      <xdr:rowOff>0</xdr:rowOff>
    </xdr:from>
    <xdr:to>
      <xdr:col>7</xdr:col>
      <xdr:colOff>250825</xdr:colOff>
      <xdr:row>36</xdr:row>
      <xdr:rowOff>0</xdr:rowOff>
    </xdr:to>
    <xdr:cxnSp macro="">
      <xdr:nvCxnSpPr>
        <xdr:cNvPr id="750" name="OpenSolver184"/>
        <xdr:cNvCxnSpPr>
          <a:stCxn id="748" idx="2"/>
          <a:endCxn id="749" idx="0"/>
        </xdr:cNvCxnSpPr>
      </xdr:nvCxnSpPr>
      <xdr:spPr>
        <a:xfrm>
          <a:off x="4117975" y="59817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</xdr:colOff>
      <xdr:row>35</xdr:row>
      <xdr:rowOff>38100</xdr:rowOff>
    </xdr:from>
    <xdr:to>
      <xdr:col>7</xdr:col>
      <xdr:colOff>441325</xdr:colOff>
      <xdr:row>36</xdr:row>
      <xdr:rowOff>127000</xdr:rowOff>
    </xdr:to>
    <xdr:sp macro="" textlink="">
      <xdr:nvSpPr>
        <xdr:cNvPr id="751" name="OpenSolver185"/>
        <xdr:cNvSpPr/>
      </xdr:nvSpPr>
      <xdr:spPr>
        <a:xfrm>
          <a:off x="392747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752" name="OpenSolver186"/>
        <xdr:cNvSpPr/>
      </xdr:nvSpPr>
      <xdr:spPr>
        <a:xfrm>
          <a:off x="436880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753" name="OpenSolver187"/>
        <xdr:cNvSpPr/>
      </xdr:nvSpPr>
      <xdr:spPr>
        <a:xfrm>
          <a:off x="436880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250825</xdr:colOff>
      <xdr:row>36</xdr:row>
      <xdr:rowOff>0</xdr:rowOff>
    </xdr:from>
    <xdr:to>
      <xdr:col>8</xdr:col>
      <xdr:colOff>250825</xdr:colOff>
      <xdr:row>36</xdr:row>
      <xdr:rowOff>0</xdr:rowOff>
    </xdr:to>
    <xdr:cxnSp macro="">
      <xdr:nvCxnSpPr>
        <xdr:cNvPr id="754" name="OpenSolver188"/>
        <xdr:cNvCxnSpPr>
          <a:stCxn id="752" idx="2"/>
          <a:endCxn id="753" idx="0"/>
        </xdr:cNvCxnSpPr>
      </xdr:nvCxnSpPr>
      <xdr:spPr>
        <a:xfrm>
          <a:off x="4619625" y="59817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60325</xdr:colOff>
      <xdr:row>35</xdr:row>
      <xdr:rowOff>38100</xdr:rowOff>
    </xdr:from>
    <xdr:to>
      <xdr:col>8</xdr:col>
      <xdr:colOff>441325</xdr:colOff>
      <xdr:row>36</xdr:row>
      <xdr:rowOff>127000</xdr:rowOff>
    </xdr:to>
    <xdr:sp macro="" textlink="">
      <xdr:nvSpPr>
        <xdr:cNvPr id="755" name="OpenSolver189"/>
        <xdr:cNvSpPr/>
      </xdr:nvSpPr>
      <xdr:spPr>
        <a:xfrm>
          <a:off x="442912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756" name="OpenSolver190"/>
        <xdr:cNvSpPr/>
      </xdr:nvSpPr>
      <xdr:spPr>
        <a:xfrm>
          <a:off x="487045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757" name="OpenSolver191"/>
        <xdr:cNvSpPr/>
      </xdr:nvSpPr>
      <xdr:spPr>
        <a:xfrm>
          <a:off x="487045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250825</xdr:colOff>
      <xdr:row>36</xdr:row>
      <xdr:rowOff>0</xdr:rowOff>
    </xdr:from>
    <xdr:to>
      <xdr:col>9</xdr:col>
      <xdr:colOff>250825</xdr:colOff>
      <xdr:row>36</xdr:row>
      <xdr:rowOff>0</xdr:rowOff>
    </xdr:to>
    <xdr:cxnSp macro="">
      <xdr:nvCxnSpPr>
        <xdr:cNvPr id="758" name="OpenSolver192"/>
        <xdr:cNvCxnSpPr>
          <a:stCxn id="756" idx="2"/>
          <a:endCxn id="757" idx="0"/>
        </xdr:cNvCxnSpPr>
      </xdr:nvCxnSpPr>
      <xdr:spPr>
        <a:xfrm>
          <a:off x="5121275" y="59817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60325</xdr:colOff>
      <xdr:row>35</xdr:row>
      <xdr:rowOff>38100</xdr:rowOff>
    </xdr:from>
    <xdr:to>
      <xdr:col>9</xdr:col>
      <xdr:colOff>441325</xdr:colOff>
      <xdr:row>36</xdr:row>
      <xdr:rowOff>127000</xdr:rowOff>
    </xdr:to>
    <xdr:sp macro="" textlink="">
      <xdr:nvSpPr>
        <xdr:cNvPr id="759" name="OpenSolver193"/>
        <xdr:cNvSpPr/>
      </xdr:nvSpPr>
      <xdr:spPr>
        <a:xfrm>
          <a:off x="493077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11</xdr:col>
      <xdr:colOff>0</xdr:colOff>
      <xdr:row>36</xdr:row>
      <xdr:rowOff>0</xdr:rowOff>
    </xdr:to>
    <xdr:sp macro="" textlink="">
      <xdr:nvSpPr>
        <xdr:cNvPr id="760" name="OpenSolver194"/>
        <xdr:cNvSpPr/>
      </xdr:nvSpPr>
      <xdr:spPr>
        <a:xfrm>
          <a:off x="537210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36</xdr:row>
      <xdr:rowOff>0</xdr:rowOff>
    </xdr:from>
    <xdr:to>
      <xdr:col>11</xdr:col>
      <xdr:colOff>0</xdr:colOff>
      <xdr:row>37</xdr:row>
      <xdr:rowOff>0</xdr:rowOff>
    </xdr:to>
    <xdr:sp macro="" textlink="">
      <xdr:nvSpPr>
        <xdr:cNvPr id="761" name="OpenSolver195"/>
        <xdr:cNvSpPr/>
      </xdr:nvSpPr>
      <xdr:spPr>
        <a:xfrm>
          <a:off x="537210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250825</xdr:colOff>
      <xdr:row>36</xdr:row>
      <xdr:rowOff>0</xdr:rowOff>
    </xdr:from>
    <xdr:to>
      <xdr:col>10</xdr:col>
      <xdr:colOff>250825</xdr:colOff>
      <xdr:row>36</xdr:row>
      <xdr:rowOff>0</xdr:rowOff>
    </xdr:to>
    <xdr:cxnSp macro="">
      <xdr:nvCxnSpPr>
        <xdr:cNvPr id="762" name="OpenSolver196"/>
        <xdr:cNvCxnSpPr>
          <a:stCxn id="760" idx="2"/>
          <a:endCxn id="761" idx="0"/>
        </xdr:cNvCxnSpPr>
      </xdr:nvCxnSpPr>
      <xdr:spPr>
        <a:xfrm>
          <a:off x="5622925" y="59817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60325</xdr:colOff>
      <xdr:row>35</xdr:row>
      <xdr:rowOff>38100</xdr:rowOff>
    </xdr:from>
    <xdr:to>
      <xdr:col>10</xdr:col>
      <xdr:colOff>441325</xdr:colOff>
      <xdr:row>36</xdr:row>
      <xdr:rowOff>127000</xdr:rowOff>
    </xdr:to>
    <xdr:sp macro="" textlink="">
      <xdr:nvSpPr>
        <xdr:cNvPr id="763" name="OpenSolver197"/>
        <xdr:cNvSpPr/>
      </xdr:nvSpPr>
      <xdr:spPr>
        <a:xfrm>
          <a:off x="543242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35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764" name="OpenSolver198"/>
        <xdr:cNvSpPr/>
      </xdr:nvSpPr>
      <xdr:spPr>
        <a:xfrm>
          <a:off x="587375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36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765" name="OpenSolver199"/>
        <xdr:cNvSpPr/>
      </xdr:nvSpPr>
      <xdr:spPr>
        <a:xfrm>
          <a:off x="587375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250825</xdr:colOff>
      <xdr:row>36</xdr:row>
      <xdr:rowOff>0</xdr:rowOff>
    </xdr:from>
    <xdr:to>
      <xdr:col>11</xdr:col>
      <xdr:colOff>250825</xdr:colOff>
      <xdr:row>36</xdr:row>
      <xdr:rowOff>0</xdr:rowOff>
    </xdr:to>
    <xdr:cxnSp macro="">
      <xdr:nvCxnSpPr>
        <xdr:cNvPr id="766" name="OpenSolver200"/>
        <xdr:cNvCxnSpPr>
          <a:stCxn id="764" idx="2"/>
          <a:endCxn id="765" idx="0"/>
        </xdr:cNvCxnSpPr>
      </xdr:nvCxnSpPr>
      <xdr:spPr>
        <a:xfrm>
          <a:off x="6124575" y="59817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60325</xdr:colOff>
      <xdr:row>35</xdr:row>
      <xdr:rowOff>38100</xdr:rowOff>
    </xdr:from>
    <xdr:to>
      <xdr:col>11</xdr:col>
      <xdr:colOff>441325</xdr:colOff>
      <xdr:row>36</xdr:row>
      <xdr:rowOff>127000</xdr:rowOff>
    </xdr:to>
    <xdr:sp macro="" textlink="">
      <xdr:nvSpPr>
        <xdr:cNvPr id="767" name="OpenSolver201"/>
        <xdr:cNvSpPr/>
      </xdr:nvSpPr>
      <xdr:spPr>
        <a:xfrm>
          <a:off x="593407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35</xdr:row>
      <xdr:rowOff>0</xdr:rowOff>
    </xdr:from>
    <xdr:to>
      <xdr:col>13</xdr:col>
      <xdr:colOff>0</xdr:colOff>
      <xdr:row>36</xdr:row>
      <xdr:rowOff>0</xdr:rowOff>
    </xdr:to>
    <xdr:sp macro="" textlink="">
      <xdr:nvSpPr>
        <xdr:cNvPr id="768" name="OpenSolver202"/>
        <xdr:cNvSpPr/>
      </xdr:nvSpPr>
      <xdr:spPr>
        <a:xfrm>
          <a:off x="637540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</xdr:col>
      <xdr:colOff>0</xdr:colOff>
      <xdr:row>36</xdr:row>
      <xdr:rowOff>0</xdr:rowOff>
    </xdr:from>
    <xdr:to>
      <xdr:col>13</xdr:col>
      <xdr:colOff>0</xdr:colOff>
      <xdr:row>37</xdr:row>
      <xdr:rowOff>0</xdr:rowOff>
    </xdr:to>
    <xdr:sp macro="" textlink="">
      <xdr:nvSpPr>
        <xdr:cNvPr id="769" name="OpenSolver203"/>
        <xdr:cNvSpPr/>
      </xdr:nvSpPr>
      <xdr:spPr>
        <a:xfrm>
          <a:off x="637540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</xdr:col>
      <xdr:colOff>250825</xdr:colOff>
      <xdr:row>36</xdr:row>
      <xdr:rowOff>0</xdr:rowOff>
    </xdr:from>
    <xdr:to>
      <xdr:col>12</xdr:col>
      <xdr:colOff>250825</xdr:colOff>
      <xdr:row>36</xdr:row>
      <xdr:rowOff>0</xdr:rowOff>
    </xdr:to>
    <xdr:cxnSp macro="">
      <xdr:nvCxnSpPr>
        <xdr:cNvPr id="770" name="OpenSolver204"/>
        <xdr:cNvCxnSpPr>
          <a:stCxn id="768" idx="2"/>
          <a:endCxn id="769" idx="0"/>
        </xdr:cNvCxnSpPr>
      </xdr:nvCxnSpPr>
      <xdr:spPr>
        <a:xfrm>
          <a:off x="6626225" y="59817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60325</xdr:colOff>
      <xdr:row>35</xdr:row>
      <xdr:rowOff>38100</xdr:rowOff>
    </xdr:from>
    <xdr:to>
      <xdr:col>12</xdr:col>
      <xdr:colOff>441325</xdr:colOff>
      <xdr:row>36</xdr:row>
      <xdr:rowOff>127000</xdr:rowOff>
    </xdr:to>
    <xdr:sp macro="" textlink="">
      <xdr:nvSpPr>
        <xdr:cNvPr id="771" name="OpenSolver205"/>
        <xdr:cNvSpPr/>
      </xdr:nvSpPr>
      <xdr:spPr>
        <a:xfrm>
          <a:off x="643572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35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772" name="OpenSolver206"/>
        <xdr:cNvSpPr/>
      </xdr:nvSpPr>
      <xdr:spPr>
        <a:xfrm>
          <a:off x="687705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0</xdr:colOff>
      <xdr:row>36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773" name="OpenSolver207"/>
        <xdr:cNvSpPr/>
      </xdr:nvSpPr>
      <xdr:spPr>
        <a:xfrm>
          <a:off x="687705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250825</xdr:colOff>
      <xdr:row>36</xdr:row>
      <xdr:rowOff>0</xdr:rowOff>
    </xdr:from>
    <xdr:to>
      <xdr:col>13</xdr:col>
      <xdr:colOff>250825</xdr:colOff>
      <xdr:row>36</xdr:row>
      <xdr:rowOff>0</xdr:rowOff>
    </xdr:to>
    <xdr:cxnSp macro="">
      <xdr:nvCxnSpPr>
        <xdr:cNvPr id="774" name="OpenSolver208"/>
        <xdr:cNvCxnSpPr>
          <a:stCxn id="772" idx="2"/>
          <a:endCxn id="773" idx="0"/>
        </xdr:cNvCxnSpPr>
      </xdr:nvCxnSpPr>
      <xdr:spPr>
        <a:xfrm>
          <a:off x="7127875" y="59817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60325</xdr:colOff>
      <xdr:row>35</xdr:row>
      <xdr:rowOff>38100</xdr:rowOff>
    </xdr:from>
    <xdr:to>
      <xdr:col>13</xdr:col>
      <xdr:colOff>441325</xdr:colOff>
      <xdr:row>36</xdr:row>
      <xdr:rowOff>127000</xdr:rowOff>
    </xdr:to>
    <xdr:sp macro="" textlink="">
      <xdr:nvSpPr>
        <xdr:cNvPr id="775" name="OpenSolver209"/>
        <xdr:cNvSpPr/>
      </xdr:nvSpPr>
      <xdr:spPr>
        <a:xfrm>
          <a:off x="693737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35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776" name="OpenSolver210"/>
        <xdr:cNvSpPr/>
      </xdr:nvSpPr>
      <xdr:spPr>
        <a:xfrm>
          <a:off x="737870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0</xdr:colOff>
      <xdr:row>36</xdr:row>
      <xdr:rowOff>0</xdr:rowOff>
    </xdr:from>
    <xdr:to>
      <xdr:col>15</xdr:col>
      <xdr:colOff>0</xdr:colOff>
      <xdr:row>37</xdr:row>
      <xdr:rowOff>0</xdr:rowOff>
    </xdr:to>
    <xdr:sp macro="" textlink="">
      <xdr:nvSpPr>
        <xdr:cNvPr id="777" name="OpenSolver211"/>
        <xdr:cNvSpPr/>
      </xdr:nvSpPr>
      <xdr:spPr>
        <a:xfrm>
          <a:off x="737870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250825</xdr:colOff>
      <xdr:row>36</xdr:row>
      <xdr:rowOff>0</xdr:rowOff>
    </xdr:from>
    <xdr:to>
      <xdr:col>14</xdr:col>
      <xdr:colOff>250825</xdr:colOff>
      <xdr:row>36</xdr:row>
      <xdr:rowOff>0</xdr:rowOff>
    </xdr:to>
    <xdr:cxnSp macro="">
      <xdr:nvCxnSpPr>
        <xdr:cNvPr id="778" name="OpenSolver212"/>
        <xdr:cNvCxnSpPr>
          <a:stCxn id="776" idx="2"/>
          <a:endCxn id="777" idx="0"/>
        </xdr:cNvCxnSpPr>
      </xdr:nvCxnSpPr>
      <xdr:spPr>
        <a:xfrm>
          <a:off x="7629525" y="59817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60325</xdr:colOff>
      <xdr:row>35</xdr:row>
      <xdr:rowOff>38100</xdr:rowOff>
    </xdr:from>
    <xdr:to>
      <xdr:col>14</xdr:col>
      <xdr:colOff>441325</xdr:colOff>
      <xdr:row>36</xdr:row>
      <xdr:rowOff>127000</xdr:rowOff>
    </xdr:to>
    <xdr:sp macro="" textlink="">
      <xdr:nvSpPr>
        <xdr:cNvPr id="779" name="OpenSolver213"/>
        <xdr:cNvSpPr/>
      </xdr:nvSpPr>
      <xdr:spPr>
        <a:xfrm>
          <a:off x="743902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35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780" name="OpenSolver214"/>
        <xdr:cNvSpPr/>
      </xdr:nvSpPr>
      <xdr:spPr>
        <a:xfrm>
          <a:off x="788035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0</xdr:colOff>
      <xdr:row>36</xdr:row>
      <xdr:rowOff>0</xdr:rowOff>
    </xdr:from>
    <xdr:to>
      <xdr:col>16</xdr:col>
      <xdr:colOff>0</xdr:colOff>
      <xdr:row>37</xdr:row>
      <xdr:rowOff>0</xdr:rowOff>
    </xdr:to>
    <xdr:sp macro="" textlink="">
      <xdr:nvSpPr>
        <xdr:cNvPr id="781" name="OpenSolver215"/>
        <xdr:cNvSpPr/>
      </xdr:nvSpPr>
      <xdr:spPr>
        <a:xfrm>
          <a:off x="788035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250825</xdr:colOff>
      <xdr:row>36</xdr:row>
      <xdr:rowOff>0</xdr:rowOff>
    </xdr:from>
    <xdr:to>
      <xdr:col>15</xdr:col>
      <xdr:colOff>250825</xdr:colOff>
      <xdr:row>36</xdr:row>
      <xdr:rowOff>0</xdr:rowOff>
    </xdr:to>
    <xdr:cxnSp macro="">
      <xdr:nvCxnSpPr>
        <xdr:cNvPr id="782" name="OpenSolver216"/>
        <xdr:cNvCxnSpPr>
          <a:stCxn id="780" idx="2"/>
          <a:endCxn id="781" idx="0"/>
        </xdr:cNvCxnSpPr>
      </xdr:nvCxnSpPr>
      <xdr:spPr>
        <a:xfrm>
          <a:off x="8131175" y="59817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60325</xdr:colOff>
      <xdr:row>35</xdr:row>
      <xdr:rowOff>38100</xdr:rowOff>
    </xdr:from>
    <xdr:to>
      <xdr:col>15</xdr:col>
      <xdr:colOff>441325</xdr:colOff>
      <xdr:row>36</xdr:row>
      <xdr:rowOff>127000</xdr:rowOff>
    </xdr:to>
    <xdr:sp macro="" textlink="">
      <xdr:nvSpPr>
        <xdr:cNvPr id="783" name="OpenSolver217"/>
        <xdr:cNvSpPr/>
      </xdr:nvSpPr>
      <xdr:spPr>
        <a:xfrm>
          <a:off x="794067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35</xdr:row>
      <xdr:rowOff>0</xdr:rowOff>
    </xdr:from>
    <xdr:to>
      <xdr:col>17</xdr:col>
      <xdr:colOff>0</xdr:colOff>
      <xdr:row>36</xdr:row>
      <xdr:rowOff>0</xdr:rowOff>
    </xdr:to>
    <xdr:sp macro="" textlink="">
      <xdr:nvSpPr>
        <xdr:cNvPr id="784" name="OpenSolver218"/>
        <xdr:cNvSpPr/>
      </xdr:nvSpPr>
      <xdr:spPr>
        <a:xfrm>
          <a:off x="838200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0</xdr:colOff>
      <xdr:row>36</xdr:row>
      <xdr:rowOff>0</xdr:rowOff>
    </xdr:from>
    <xdr:to>
      <xdr:col>17</xdr:col>
      <xdr:colOff>0</xdr:colOff>
      <xdr:row>37</xdr:row>
      <xdr:rowOff>0</xdr:rowOff>
    </xdr:to>
    <xdr:sp macro="" textlink="">
      <xdr:nvSpPr>
        <xdr:cNvPr id="785" name="OpenSolver219"/>
        <xdr:cNvSpPr/>
      </xdr:nvSpPr>
      <xdr:spPr>
        <a:xfrm>
          <a:off x="838200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250825</xdr:colOff>
      <xdr:row>36</xdr:row>
      <xdr:rowOff>0</xdr:rowOff>
    </xdr:from>
    <xdr:to>
      <xdr:col>16</xdr:col>
      <xdr:colOff>250825</xdr:colOff>
      <xdr:row>36</xdr:row>
      <xdr:rowOff>0</xdr:rowOff>
    </xdr:to>
    <xdr:cxnSp macro="">
      <xdr:nvCxnSpPr>
        <xdr:cNvPr id="786" name="OpenSolver220"/>
        <xdr:cNvCxnSpPr>
          <a:stCxn id="784" idx="2"/>
          <a:endCxn id="785" idx="0"/>
        </xdr:cNvCxnSpPr>
      </xdr:nvCxnSpPr>
      <xdr:spPr>
        <a:xfrm>
          <a:off x="8632825" y="59817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60325</xdr:colOff>
      <xdr:row>35</xdr:row>
      <xdr:rowOff>38100</xdr:rowOff>
    </xdr:from>
    <xdr:to>
      <xdr:col>16</xdr:col>
      <xdr:colOff>441325</xdr:colOff>
      <xdr:row>36</xdr:row>
      <xdr:rowOff>127000</xdr:rowOff>
    </xdr:to>
    <xdr:sp macro="" textlink="">
      <xdr:nvSpPr>
        <xdr:cNvPr id="787" name="OpenSolver221"/>
        <xdr:cNvSpPr/>
      </xdr:nvSpPr>
      <xdr:spPr>
        <a:xfrm>
          <a:off x="844232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35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788" name="OpenSolver222"/>
        <xdr:cNvSpPr/>
      </xdr:nvSpPr>
      <xdr:spPr>
        <a:xfrm>
          <a:off x="8883650" y="58166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789" name="OpenSolver223"/>
        <xdr:cNvSpPr/>
      </xdr:nvSpPr>
      <xdr:spPr>
        <a:xfrm>
          <a:off x="8883650" y="59817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17</xdr:col>
      <xdr:colOff>250825</xdr:colOff>
      <xdr:row>36</xdr:row>
      <xdr:rowOff>0</xdr:rowOff>
    </xdr:from>
    <xdr:to>
      <xdr:col>17</xdr:col>
      <xdr:colOff>250825</xdr:colOff>
      <xdr:row>36</xdr:row>
      <xdr:rowOff>0</xdr:rowOff>
    </xdr:to>
    <xdr:cxnSp macro="">
      <xdr:nvCxnSpPr>
        <xdr:cNvPr id="790" name="OpenSolver224"/>
        <xdr:cNvCxnSpPr>
          <a:stCxn id="788" idx="2"/>
          <a:endCxn id="789" idx="0"/>
        </xdr:cNvCxnSpPr>
      </xdr:nvCxnSpPr>
      <xdr:spPr>
        <a:xfrm>
          <a:off x="9134475" y="59817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60325</xdr:colOff>
      <xdr:row>35</xdr:row>
      <xdr:rowOff>38100</xdr:rowOff>
    </xdr:from>
    <xdr:to>
      <xdr:col>17</xdr:col>
      <xdr:colOff>441325</xdr:colOff>
      <xdr:row>36</xdr:row>
      <xdr:rowOff>127000</xdr:rowOff>
    </xdr:to>
    <xdr:sp macro="" textlink="">
      <xdr:nvSpPr>
        <xdr:cNvPr id="791" name="OpenSolver225"/>
        <xdr:cNvSpPr/>
      </xdr:nvSpPr>
      <xdr:spPr>
        <a:xfrm>
          <a:off x="8943975" y="5854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792" name="OpenSolverE10"/>
        <xdr:cNvSpPr/>
      </xdr:nvSpPr>
      <xdr:spPr>
        <a:xfrm>
          <a:off x="236220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793" name="OpenSolverF10"/>
        <xdr:cNvSpPr/>
      </xdr:nvSpPr>
      <xdr:spPr>
        <a:xfrm>
          <a:off x="286385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794" name="OpenSolverG10"/>
        <xdr:cNvSpPr/>
      </xdr:nvSpPr>
      <xdr:spPr>
        <a:xfrm>
          <a:off x="336550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95" name="OpenSolverH10"/>
        <xdr:cNvSpPr/>
      </xdr:nvSpPr>
      <xdr:spPr>
        <a:xfrm>
          <a:off x="386715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6" name="OpenSolverI10"/>
        <xdr:cNvSpPr/>
      </xdr:nvSpPr>
      <xdr:spPr>
        <a:xfrm>
          <a:off x="436880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97" name="OpenSolverJ10"/>
        <xdr:cNvSpPr/>
      </xdr:nvSpPr>
      <xdr:spPr>
        <a:xfrm>
          <a:off x="487045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798" name="OpenSolverK10"/>
        <xdr:cNvSpPr/>
      </xdr:nvSpPr>
      <xdr:spPr>
        <a:xfrm>
          <a:off x="537210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799" name="OpenSolverL10"/>
        <xdr:cNvSpPr/>
      </xdr:nvSpPr>
      <xdr:spPr>
        <a:xfrm>
          <a:off x="587375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10</xdr:row>
      <xdr:rowOff>0</xdr:rowOff>
    </xdr:to>
    <xdr:sp macro="" textlink="">
      <xdr:nvSpPr>
        <xdr:cNvPr id="800" name="OpenSolverM10"/>
        <xdr:cNvSpPr/>
      </xdr:nvSpPr>
      <xdr:spPr>
        <a:xfrm>
          <a:off x="637540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801" name="OpenSolverN10"/>
        <xdr:cNvSpPr/>
      </xdr:nvSpPr>
      <xdr:spPr>
        <a:xfrm>
          <a:off x="687705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</xdr:col>
      <xdr:colOff>0</xdr:colOff>
      <xdr:row>9</xdr:row>
      <xdr:rowOff>0</xdr:rowOff>
    </xdr:from>
    <xdr:to>
      <xdr:col>15</xdr:col>
      <xdr:colOff>0</xdr:colOff>
      <xdr:row>10</xdr:row>
      <xdr:rowOff>0</xdr:rowOff>
    </xdr:to>
    <xdr:sp macro="" textlink="">
      <xdr:nvSpPr>
        <xdr:cNvPr id="802" name="OpenSolverO10"/>
        <xdr:cNvSpPr/>
      </xdr:nvSpPr>
      <xdr:spPr>
        <a:xfrm>
          <a:off x="737870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16</xdr:col>
      <xdr:colOff>0</xdr:colOff>
      <xdr:row>10</xdr:row>
      <xdr:rowOff>0</xdr:rowOff>
    </xdr:to>
    <xdr:sp macro="" textlink="">
      <xdr:nvSpPr>
        <xdr:cNvPr id="803" name="OpenSolverP10"/>
        <xdr:cNvSpPr/>
      </xdr:nvSpPr>
      <xdr:spPr>
        <a:xfrm>
          <a:off x="788035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10</xdr:row>
      <xdr:rowOff>0</xdr:rowOff>
    </xdr:to>
    <xdr:sp macro="" textlink="">
      <xdr:nvSpPr>
        <xdr:cNvPr id="804" name="OpenSolverQ10"/>
        <xdr:cNvSpPr/>
      </xdr:nvSpPr>
      <xdr:spPr>
        <a:xfrm>
          <a:off x="838200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18</xdr:col>
      <xdr:colOff>0</xdr:colOff>
      <xdr:row>10</xdr:row>
      <xdr:rowOff>0</xdr:rowOff>
    </xdr:to>
    <xdr:sp macro="" textlink="">
      <xdr:nvSpPr>
        <xdr:cNvPr id="805" name="OpenSolverR10"/>
        <xdr:cNvSpPr/>
      </xdr:nvSpPr>
      <xdr:spPr>
        <a:xfrm>
          <a:off x="8883650" y="15240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" textlink="">
      <xdr:nvSpPr>
        <xdr:cNvPr id="806" name="OpenSolverE15"/>
        <xdr:cNvSpPr/>
      </xdr:nvSpPr>
      <xdr:spPr>
        <a:xfrm>
          <a:off x="236220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807" name="OpenSolverF15"/>
        <xdr:cNvSpPr/>
      </xdr:nvSpPr>
      <xdr:spPr>
        <a:xfrm>
          <a:off x="286385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7</xdr:col>
      <xdr:colOff>0</xdr:colOff>
      <xdr:row>15</xdr:row>
      <xdr:rowOff>0</xdr:rowOff>
    </xdr:to>
    <xdr:sp macro="" textlink="">
      <xdr:nvSpPr>
        <xdr:cNvPr id="808" name="OpenSolverG15"/>
        <xdr:cNvSpPr/>
      </xdr:nvSpPr>
      <xdr:spPr>
        <a:xfrm>
          <a:off x="336550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09" name="OpenSolverH15"/>
        <xdr:cNvSpPr/>
      </xdr:nvSpPr>
      <xdr:spPr>
        <a:xfrm>
          <a:off x="386715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sp macro="" textlink="">
      <xdr:nvSpPr>
        <xdr:cNvPr id="810" name="OpenSolverI15"/>
        <xdr:cNvSpPr/>
      </xdr:nvSpPr>
      <xdr:spPr>
        <a:xfrm>
          <a:off x="436880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11" name="OpenSolverJ15"/>
        <xdr:cNvSpPr/>
      </xdr:nvSpPr>
      <xdr:spPr>
        <a:xfrm>
          <a:off x="487045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" textlink="">
      <xdr:nvSpPr>
        <xdr:cNvPr id="812" name="OpenSolverK15"/>
        <xdr:cNvSpPr/>
      </xdr:nvSpPr>
      <xdr:spPr>
        <a:xfrm>
          <a:off x="537210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12</xdr:col>
      <xdr:colOff>0</xdr:colOff>
      <xdr:row>15</xdr:row>
      <xdr:rowOff>0</xdr:rowOff>
    </xdr:to>
    <xdr:sp macro="" textlink="">
      <xdr:nvSpPr>
        <xdr:cNvPr id="813" name="OpenSolverL15"/>
        <xdr:cNvSpPr/>
      </xdr:nvSpPr>
      <xdr:spPr>
        <a:xfrm>
          <a:off x="587375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814" name="OpenSolverM15"/>
        <xdr:cNvSpPr/>
      </xdr:nvSpPr>
      <xdr:spPr>
        <a:xfrm>
          <a:off x="637540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15</xdr:row>
      <xdr:rowOff>0</xdr:rowOff>
    </xdr:to>
    <xdr:sp macro="" textlink="">
      <xdr:nvSpPr>
        <xdr:cNvPr id="815" name="OpenSolverN15"/>
        <xdr:cNvSpPr/>
      </xdr:nvSpPr>
      <xdr:spPr>
        <a:xfrm>
          <a:off x="687705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816" name="OpenSolverO15"/>
        <xdr:cNvSpPr/>
      </xdr:nvSpPr>
      <xdr:spPr>
        <a:xfrm>
          <a:off x="737870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16</xdr:col>
      <xdr:colOff>0</xdr:colOff>
      <xdr:row>15</xdr:row>
      <xdr:rowOff>0</xdr:rowOff>
    </xdr:to>
    <xdr:sp macro="" textlink="">
      <xdr:nvSpPr>
        <xdr:cNvPr id="817" name="OpenSolverP15"/>
        <xdr:cNvSpPr/>
      </xdr:nvSpPr>
      <xdr:spPr>
        <a:xfrm>
          <a:off x="788035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16</xdr:col>
      <xdr:colOff>0</xdr:colOff>
      <xdr:row>14</xdr:row>
      <xdr:rowOff>0</xdr:rowOff>
    </xdr:from>
    <xdr:to>
      <xdr:col>17</xdr:col>
      <xdr:colOff>0</xdr:colOff>
      <xdr:row>15</xdr:row>
      <xdr:rowOff>0</xdr:rowOff>
    </xdr:to>
    <xdr:sp macro="" textlink="">
      <xdr:nvSpPr>
        <xdr:cNvPr id="818" name="OpenSolverQ15"/>
        <xdr:cNvSpPr/>
      </xdr:nvSpPr>
      <xdr:spPr>
        <a:xfrm>
          <a:off x="838200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0</xdr:colOff>
      <xdr:row>15</xdr:row>
      <xdr:rowOff>0</xdr:rowOff>
    </xdr:to>
    <xdr:sp macro="" textlink="">
      <xdr:nvSpPr>
        <xdr:cNvPr id="819" name="OpenSolverR15"/>
        <xdr:cNvSpPr/>
      </xdr:nvSpPr>
      <xdr:spPr>
        <a:xfrm>
          <a:off x="8883650" y="23495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" textlink="">
      <xdr:nvSpPr>
        <xdr:cNvPr id="820" name="OpenSolverE20"/>
        <xdr:cNvSpPr/>
      </xdr:nvSpPr>
      <xdr:spPr>
        <a:xfrm>
          <a:off x="236220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sp macro="" textlink="">
      <xdr:nvSpPr>
        <xdr:cNvPr id="821" name="OpenSolverF20"/>
        <xdr:cNvSpPr/>
      </xdr:nvSpPr>
      <xdr:spPr>
        <a:xfrm>
          <a:off x="286385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822" name="OpenSolverG20"/>
        <xdr:cNvSpPr/>
      </xdr:nvSpPr>
      <xdr:spPr>
        <a:xfrm>
          <a:off x="336550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23" name="OpenSolverH20"/>
        <xdr:cNvSpPr/>
      </xdr:nvSpPr>
      <xdr:spPr>
        <a:xfrm>
          <a:off x="386715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sp macro="" textlink="">
      <xdr:nvSpPr>
        <xdr:cNvPr id="824" name="OpenSolverI20"/>
        <xdr:cNvSpPr/>
      </xdr:nvSpPr>
      <xdr:spPr>
        <a:xfrm>
          <a:off x="436880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25" name="OpenSolverJ20"/>
        <xdr:cNvSpPr/>
      </xdr:nvSpPr>
      <xdr:spPr>
        <a:xfrm>
          <a:off x="487045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sp macro="" textlink="">
      <xdr:nvSpPr>
        <xdr:cNvPr id="826" name="OpenSolverK20"/>
        <xdr:cNvSpPr/>
      </xdr:nvSpPr>
      <xdr:spPr>
        <a:xfrm>
          <a:off x="537210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sp macro="" textlink="">
      <xdr:nvSpPr>
        <xdr:cNvPr id="827" name="OpenSolverL20"/>
        <xdr:cNvSpPr/>
      </xdr:nvSpPr>
      <xdr:spPr>
        <a:xfrm>
          <a:off x="587375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sp macro="" textlink="">
      <xdr:nvSpPr>
        <xdr:cNvPr id="828" name="OpenSolverM20"/>
        <xdr:cNvSpPr/>
      </xdr:nvSpPr>
      <xdr:spPr>
        <a:xfrm>
          <a:off x="637540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sp macro="" textlink="">
      <xdr:nvSpPr>
        <xdr:cNvPr id="829" name="OpenSolverN20"/>
        <xdr:cNvSpPr/>
      </xdr:nvSpPr>
      <xdr:spPr>
        <a:xfrm>
          <a:off x="687705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sp macro="" textlink="">
      <xdr:nvSpPr>
        <xdr:cNvPr id="830" name="OpenSolverO20"/>
        <xdr:cNvSpPr/>
      </xdr:nvSpPr>
      <xdr:spPr>
        <a:xfrm>
          <a:off x="737870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sp macro="" textlink="">
      <xdr:nvSpPr>
        <xdr:cNvPr id="831" name="OpenSolverP20"/>
        <xdr:cNvSpPr/>
      </xdr:nvSpPr>
      <xdr:spPr>
        <a:xfrm>
          <a:off x="788035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sp macro="" textlink="">
      <xdr:nvSpPr>
        <xdr:cNvPr id="832" name="OpenSolverQ20"/>
        <xdr:cNvSpPr/>
      </xdr:nvSpPr>
      <xdr:spPr>
        <a:xfrm>
          <a:off x="838200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sp macro="" textlink="">
      <xdr:nvSpPr>
        <xdr:cNvPr id="833" name="OpenSolverR20"/>
        <xdr:cNvSpPr/>
      </xdr:nvSpPr>
      <xdr:spPr>
        <a:xfrm>
          <a:off x="8883650" y="31750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" textlink="">
      <xdr:nvSpPr>
        <xdr:cNvPr id="834" name="OpenSolverE25"/>
        <xdr:cNvSpPr/>
      </xdr:nvSpPr>
      <xdr:spPr>
        <a:xfrm>
          <a:off x="236220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24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835" name="OpenSolverF25"/>
        <xdr:cNvSpPr/>
      </xdr:nvSpPr>
      <xdr:spPr>
        <a:xfrm>
          <a:off x="286385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24</xdr:row>
      <xdr:rowOff>0</xdr:rowOff>
    </xdr:from>
    <xdr:to>
      <xdr:col>7</xdr:col>
      <xdr:colOff>0</xdr:colOff>
      <xdr:row>25</xdr:row>
      <xdr:rowOff>0</xdr:rowOff>
    </xdr:to>
    <xdr:sp macro="" textlink="">
      <xdr:nvSpPr>
        <xdr:cNvPr id="836" name="OpenSolverG25"/>
        <xdr:cNvSpPr/>
      </xdr:nvSpPr>
      <xdr:spPr>
        <a:xfrm>
          <a:off x="336550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7" name="OpenSolverH25"/>
        <xdr:cNvSpPr/>
      </xdr:nvSpPr>
      <xdr:spPr>
        <a:xfrm>
          <a:off x="386715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sp macro="" textlink="">
      <xdr:nvSpPr>
        <xdr:cNvPr id="838" name="OpenSolverI25"/>
        <xdr:cNvSpPr/>
      </xdr:nvSpPr>
      <xdr:spPr>
        <a:xfrm>
          <a:off x="436880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9" name="OpenSolverJ25"/>
        <xdr:cNvSpPr/>
      </xdr:nvSpPr>
      <xdr:spPr>
        <a:xfrm>
          <a:off x="487045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840" name="OpenSolverK25"/>
        <xdr:cNvSpPr/>
      </xdr:nvSpPr>
      <xdr:spPr>
        <a:xfrm>
          <a:off x="537210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24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841" name="OpenSolverL25"/>
        <xdr:cNvSpPr/>
      </xdr:nvSpPr>
      <xdr:spPr>
        <a:xfrm>
          <a:off x="587375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</xdr:col>
      <xdr:colOff>0</xdr:colOff>
      <xdr:row>24</xdr:row>
      <xdr:rowOff>0</xdr:rowOff>
    </xdr:from>
    <xdr:to>
      <xdr:col>13</xdr:col>
      <xdr:colOff>0</xdr:colOff>
      <xdr:row>25</xdr:row>
      <xdr:rowOff>0</xdr:rowOff>
    </xdr:to>
    <xdr:sp macro="" textlink="">
      <xdr:nvSpPr>
        <xdr:cNvPr id="842" name="OpenSolverM25"/>
        <xdr:cNvSpPr/>
      </xdr:nvSpPr>
      <xdr:spPr>
        <a:xfrm>
          <a:off x="637540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25</xdr:row>
      <xdr:rowOff>0</xdr:rowOff>
    </xdr:to>
    <xdr:sp macro="" textlink="">
      <xdr:nvSpPr>
        <xdr:cNvPr id="843" name="OpenSolverN25"/>
        <xdr:cNvSpPr/>
      </xdr:nvSpPr>
      <xdr:spPr>
        <a:xfrm>
          <a:off x="687705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</xdr:col>
      <xdr:colOff>0</xdr:colOff>
      <xdr:row>24</xdr:row>
      <xdr:rowOff>0</xdr:rowOff>
    </xdr:from>
    <xdr:to>
      <xdr:col>15</xdr:col>
      <xdr:colOff>0</xdr:colOff>
      <xdr:row>25</xdr:row>
      <xdr:rowOff>0</xdr:rowOff>
    </xdr:to>
    <xdr:sp macro="" textlink="">
      <xdr:nvSpPr>
        <xdr:cNvPr id="844" name="OpenSolverO25"/>
        <xdr:cNvSpPr/>
      </xdr:nvSpPr>
      <xdr:spPr>
        <a:xfrm>
          <a:off x="737870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</xdr:col>
      <xdr:colOff>0</xdr:colOff>
      <xdr:row>24</xdr:row>
      <xdr:rowOff>0</xdr:rowOff>
    </xdr:from>
    <xdr:to>
      <xdr:col>16</xdr:col>
      <xdr:colOff>0</xdr:colOff>
      <xdr:row>25</xdr:row>
      <xdr:rowOff>0</xdr:rowOff>
    </xdr:to>
    <xdr:sp macro="" textlink="">
      <xdr:nvSpPr>
        <xdr:cNvPr id="845" name="OpenSolverP25"/>
        <xdr:cNvSpPr/>
      </xdr:nvSpPr>
      <xdr:spPr>
        <a:xfrm>
          <a:off x="788035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16</xdr:col>
      <xdr:colOff>0</xdr:colOff>
      <xdr:row>24</xdr:row>
      <xdr:rowOff>0</xdr:rowOff>
    </xdr:from>
    <xdr:to>
      <xdr:col>17</xdr:col>
      <xdr:colOff>0</xdr:colOff>
      <xdr:row>25</xdr:row>
      <xdr:rowOff>0</xdr:rowOff>
    </xdr:to>
    <xdr:sp macro="" textlink="">
      <xdr:nvSpPr>
        <xdr:cNvPr id="846" name="OpenSolverQ25"/>
        <xdr:cNvSpPr/>
      </xdr:nvSpPr>
      <xdr:spPr>
        <a:xfrm>
          <a:off x="838200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17</xdr:col>
      <xdr:colOff>0</xdr:colOff>
      <xdr:row>24</xdr:row>
      <xdr:rowOff>0</xdr:rowOff>
    </xdr:from>
    <xdr:to>
      <xdr:col>18</xdr:col>
      <xdr:colOff>0</xdr:colOff>
      <xdr:row>25</xdr:row>
      <xdr:rowOff>0</xdr:rowOff>
    </xdr:to>
    <xdr:sp macro="" textlink="">
      <xdr:nvSpPr>
        <xdr:cNvPr id="847" name="OpenSolverR25"/>
        <xdr:cNvSpPr/>
      </xdr:nvSpPr>
      <xdr:spPr>
        <a:xfrm>
          <a:off x="8883650" y="40005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848" name="OpenSolver282"/>
        <xdr:cNvSpPr/>
      </xdr:nvSpPr>
      <xdr:spPr>
        <a:xfrm>
          <a:off x="236220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849" name="OpenSolver283"/>
        <xdr:cNvSpPr/>
      </xdr:nvSpPr>
      <xdr:spPr>
        <a:xfrm>
          <a:off x="286385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5</xdr:col>
      <xdr:colOff>0</xdr:colOff>
      <xdr:row>7</xdr:row>
      <xdr:rowOff>82550</xdr:rowOff>
    </xdr:from>
    <xdr:to>
      <xdr:col>5</xdr:col>
      <xdr:colOff>0</xdr:colOff>
      <xdr:row>8</xdr:row>
      <xdr:rowOff>82550</xdr:rowOff>
    </xdr:to>
    <xdr:cxnSp macro="">
      <xdr:nvCxnSpPr>
        <xdr:cNvPr id="850" name="OpenSolver284"/>
        <xdr:cNvCxnSpPr>
          <a:stCxn id="848" idx="3"/>
          <a:endCxn id="849" idx="1"/>
        </xdr:cNvCxnSpPr>
      </xdr:nvCxnSpPr>
      <xdr:spPr>
        <a:xfrm>
          <a:off x="2863850" y="12763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311150</xdr:colOff>
      <xdr:row>7</xdr:row>
      <xdr:rowOff>38100</xdr:rowOff>
    </xdr:from>
    <xdr:to>
      <xdr:col>5</xdr:col>
      <xdr:colOff>190500</xdr:colOff>
      <xdr:row>8</xdr:row>
      <xdr:rowOff>127000</xdr:rowOff>
    </xdr:to>
    <xdr:sp macro="" textlink="">
      <xdr:nvSpPr>
        <xdr:cNvPr id="851" name="OpenSolver285"/>
        <xdr:cNvSpPr/>
      </xdr:nvSpPr>
      <xdr:spPr>
        <a:xfrm>
          <a:off x="267335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852" name="OpenSolver286"/>
        <xdr:cNvSpPr/>
      </xdr:nvSpPr>
      <xdr:spPr>
        <a:xfrm>
          <a:off x="286385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53" name="OpenSolver287"/>
        <xdr:cNvSpPr/>
      </xdr:nvSpPr>
      <xdr:spPr>
        <a:xfrm>
          <a:off x="336550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82550</xdr:rowOff>
    </xdr:from>
    <xdr:to>
      <xdr:col>6</xdr:col>
      <xdr:colOff>0</xdr:colOff>
      <xdr:row>8</xdr:row>
      <xdr:rowOff>82550</xdr:rowOff>
    </xdr:to>
    <xdr:cxnSp macro="">
      <xdr:nvCxnSpPr>
        <xdr:cNvPr id="854" name="OpenSolver288"/>
        <xdr:cNvCxnSpPr>
          <a:stCxn id="852" idx="3"/>
          <a:endCxn id="853" idx="1"/>
        </xdr:cNvCxnSpPr>
      </xdr:nvCxnSpPr>
      <xdr:spPr>
        <a:xfrm>
          <a:off x="3365500" y="12763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311150</xdr:colOff>
      <xdr:row>7</xdr:row>
      <xdr:rowOff>38100</xdr:rowOff>
    </xdr:from>
    <xdr:to>
      <xdr:col>6</xdr:col>
      <xdr:colOff>190500</xdr:colOff>
      <xdr:row>8</xdr:row>
      <xdr:rowOff>127000</xdr:rowOff>
    </xdr:to>
    <xdr:sp macro="" textlink="">
      <xdr:nvSpPr>
        <xdr:cNvPr id="855" name="OpenSolver289"/>
        <xdr:cNvSpPr/>
      </xdr:nvSpPr>
      <xdr:spPr>
        <a:xfrm>
          <a:off x="317500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56" name="OpenSolver290"/>
        <xdr:cNvSpPr/>
      </xdr:nvSpPr>
      <xdr:spPr>
        <a:xfrm>
          <a:off x="336550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57" name="OpenSolver291"/>
        <xdr:cNvSpPr/>
      </xdr:nvSpPr>
      <xdr:spPr>
        <a:xfrm>
          <a:off x="386715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82550</xdr:rowOff>
    </xdr:from>
    <xdr:to>
      <xdr:col>7</xdr:col>
      <xdr:colOff>0</xdr:colOff>
      <xdr:row>8</xdr:row>
      <xdr:rowOff>82550</xdr:rowOff>
    </xdr:to>
    <xdr:cxnSp macro="">
      <xdr:nvCxnSpPr>
        <xdr:cNvPr id="858" name="OpenSolver292"/>
        <xdr:cNvCxnSpPr>
          <a:stCxn id="856" idx="3"/>
          <a:endCxn id="857" idx="1"/>
        </xdr:cNvCxnSpPr>
      </xdr:nvCxnSpPr>
      <xdr:spPr>
        <a:xfrm>
          <a:off x="3867150" y="12763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7</xdr:row>
      <xdr:rowOff>38100</xdr:rowOff>
    </xdr:from>
    <xdr:to>
      <xdr:col>7</xdr:col>
      <xdr:colOff>190500</xdr:colOff>
      <xdr:row>8</xdr:row>
      <xdr:rowOff>127000</xdr:rowOff>
    </xdr:to>
    <xdr:sp macro="" textlink="">
      <xdr:nvSpPr>
        <xdr:cNvPr id="859" name="OpenSolver293"/>
        <xdr:cNvSpPr/>
      </xdr:nvSpPr>
      <xdr:spPr>
        <a:xfrm>
          <a:off x="367665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60" name="OpenSolver294"/>
        <xdr:cNvSpPr/>
      </xdr:nvSpPr>
      <xdr:spPr>
        <a:xfrm>
          <a:off x="386715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61" name="OpenSolver295"/>
        <xdr:cNvSpPr/>
      </xdr:nvSpPr>
      <xdr:spPr>
        <a:xfrm>
          <a:off x="436880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8</xdr:col>
      <xdr:colOff>0</xdr:colOff>
      <xdr:row>8</xdr:row>
      <xdr:rowOff>82550</xdr:rowOff>
    </xdr:to>
    <xdr:cxnSp macro="">
      <xdr:nvCxnSpPr>
        <xdr:cNvPr id="862" name="OpenSolver296"/>
        <xdr:cNvCxnSpPr>
          <a:stCxn id="860" idx="3"/>
          <a:endCxn id="861" idx="1"/>
        </xdr:cNvCxnSpPr>
      </xdr:nvCxnSpPr>
      <xdr:spPr>
        <a:xfrm>
          <a:off x="4368800" y="12763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311150</xdr:colOff>
      <xdr:row>7</xdr:row>
      <xdr:rowOff>38100</xdr:rowOff>
    </xdr:from>
    <xdr:to>
      <xdr:col>8</xdr:col>
      <xdr:colOff>190500</xdr:colOff>
      <xdr:row>8</xdr:row>
      <xdr:rowOff>127000</xdr:rowOff>
    </xdr:to>
    <xdr:sp macro="" textlink="">
      <xdr:nvSpPr>
        <xdr:cNvPr id="863" name="OpenSolver297"/>
        <xdr:cNvSpPr/>
      </xdr:nvSpPr>
      <xdr:spPr>
        <a:xfrm>
          <a:off x="417830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64" name="OpenSolver298"/>
        <xdr:cNvSpPr/>
      </xdr:nvSpPr>
      <xdr:spPr>
        <a:xfrm>
          <a:off x="436880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65" name="OpenSolver299"/>
        <xdr:cNvSpPr/>
      </xdr:nvSpPr>
      <xdr:spPr>
        <a:xfrm>
          <a:off x="487045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82550</xdr:rowOff>
    </xdr:from>
    <xdr:to>
      <xdr:col>9</xdr:col>
      <xdr:colOff>0</xdr:colOff>
      <xdr:row>8</xdr:row>
      <xdr:rowOff>82550</xdr:rowOff>
    </xdr:to>
    <xdr:cxnSp macro="">
      <xdr:nvCxnSpPr>
        <xdr:cNvPr id="866" name="OpenSolver300"/>
        <xdr:cNvCxnSpPr>
          <a:stCxn id="864" idx="3"/>
          <a:endCxn id="865" idx="1"/>
        </xdr:cNvCxnSpPr>
      </xdr:nvCxnSpPr>
      <xdr:spPr>
        <a:xfrm>
          <a:off x="4870450" y="12763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311150</xdr:colOff>
      <xdr:row>7</xdr:row>
      <xdr:rowOff>38100</xdr:rowOff>
    </xdr:from>
    <xdr:to>
      <xdr:col>9</xdr:col>
      <xdr:colOff>190500</xdr:colOff>
      <xdr:row>8</xdr:row>
      <xdr:rowOff>127000</xdr:rowOff>
    </xdr:to>
    <xdr:sp macro="" textlink="">
      <xdr:nvSpPr>
        <xdr:cNvPr id="867" name="OpenSolver301"/>
        <xdr:cNvSpPr/>
      </xdr:nvSpPr>
      <xdr:spPr>
        <a:xfrm>
          <a:off x="467995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868" name="OpenSolver302"/>
        <xdr:cNvSpPr/>
      </xdr:nvSpPr>
      <xdr:spPr>
        <a:xfrm>
          <a:off x="537210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869" name="OpenSolver303"/>
        <xdr:cNvSpPr/>
      </xdr:nvSpPr>
      <xdr:spPr>
        <a:xfrm>
          <a:off x="587375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82550</xdr:rowOff>
    </xdr:from>
    <xdr:to>
      <xdr:col>11</xdr:col>
      <xdr:colOff>0</xdr:colOff>
      <xdr:row>8</xdr:row>
      <xdr:rowOff>82550</xdr:rowOff>
    </xdr:to>
    <xdr:cxnSp macro="">
      <xdr:nvCxnSpPr>
        <xdr:cNvPr id="870" name="OpenSolver304"/>
        <xdr:cNvCxnSpPr>
          <a:stCxn id="868" idx="3"/>
          <a:endCxn id="869" idx="1"/>
        </xdr:cNvCxnSpPr>
      </xdr:nvCxnSpPr>
      <xdr:spPr>
        <a:xfrm>
          <a:off x="5873750" y="12763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311150</xdr:colOff>
      <xdr:row>7</xdr:row>
      <xdr:rowOff>38100</xdr:rowOff>
    </xdr:from>
    <xdr:to>
      <xdr:col>11</xdr:col>
      <xdr:colOff>190500</xdr:colOff>
      <xdr:row>8</xdr:row>
      <xdr:rowOff>127000</xdr:rowOff>
    </xdr:to>
    <xdr:sp macro="" textlink="">
      <xdr:nvSpPr>
        <xdr:cNvPr id="871" name="OpenSolver305"/>
        <xdr:cNvSpPr/>
      </xdr:nvSpPr>
      <xdr:spPr>
        <a:xfrm>
          <a:off x="568325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872" name="OpenSolver306"/>
        <xdr:cNvSpPr/>
      </xdr:nvSpPr>
      <xdr:spPr>
        <a:xfrm>
          <a:off x="587375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873" name="OpenSolver307"/>
        <xdr:cNvSpPr/>
      </xdr:nvSpPr>
      <xdr:spPr>
        <a:xfrm>
          <a:off x="637540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7</xdr:row>
      <xdr:rowOff>82550</xdr:rowOff>
    </xdr:from>
    <xdr:to>
      <xdr:col>12</xdr:col>
      <xdr:colOff>0</xdr:colOff>
      <xdr:row>8</xdr:row>
      <xdr:rowOff>82550</xdr:rowOff>
    </xdr:to>
    <xdr:cxnSp macro="">
      <xdr:nvCxnSpPr>
        <xdr:cNvPr id="874" name="OpenSolver308"/>
        <xdr:cNvCxnSpPr>
          <a:stCxn id="872" idx="3"/>
          <a:endCxn id="873" idx="1"/>
        </xdr:cNvCxnSpPr>
      </xdr:nvCxnSpPr>
      <xdr:spPr>
        <a:xfrm>
          <a:off x="6375400" y="12763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311150</xdr:colOff>
      <xdr:row>7</xdr:row>
      <xdr:rowOff>38100</xdr:rowOff>
    </xdr:from>
    <xdr:to>
      <xdr:col>12</xdr:col>
      <xdr:colOff>190500</xdr:colOff>
      <xdr:row>8</xdr:row>
      <xdr:rowOff>127000</xdr:rowOff>
    </xdr:to>
    <xdr:sp macro="" textlink="">
      <xdr:nvSpPr>
        <xdr:cNvPr id="875" name="OpenSolver309"/>
        <xdr:cNvSpPr/>
      </xdr:nvSpPr>
      <xdr:spPr>
        <a:xfrm>
          <a:off x="618490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876" name="OpenSolver310"/>
        <xdr:cNvSpPr/>
      </xdr:nvSpPr>
      <xdr:spPr>
        <a:xfrm>
          <a:off x="637540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77" name="OpenSolver311"/>
        <xdr:cNvSpPr/>
      </xdr:nvSpPr>
      <xdr:spPr>
        <a:xfrm>
          <a:off x="687705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7</xdr:row>
      <xdr:rowOff>82550</xdr:rowOff>
    </xdr:from>
    <xdr:to>
      <xdr:col>13</xdr:col>
      <xdr:colOff>0</xdr:colOff>
      <xdr:row>8</xdr:row>
      <xdr:rowOff>82550</xdr:rowOff>
    </xdr:to>
    <xdr:cxnSp macro="">
      <xdr:nvCxnSpPr>
        <xdr:cNvPr id="878" name="OpenSolver312"/>
        <xdr:cNvCxnSpPr>
          <a:stCxn id="876" idx="3"/>
          <a:endCxn id="877" idx="1"/>
        </xdr:cNvCxnSpPr>
      </xdr:nvCxnSpPr>
      <xdr:spPr>
        <a:xfrm>
          <a:off x="6877050" y="12763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311150</xdr:colOff>
      <xdr:row>7</xdr:row>
      <xdr:rowOff>38100</xdr:rowOff>
    </xdr:from>
    <xdr:to>
      <xdr:col>13</xdr:col>
      <xdr:colOff>190500</xdr:colOff>
      <xdr:row>8</xdr:row>
      <xdr:rowOff>127000</xdr:rowOff>
    </xdr:to>
    <xdr:sp macro="" textlink="">
      <xdr:nvSpPr>
        <xdr:cNvPr id="879" name="OpenSolver313"/>
        <xdr:cNvSpPr/>
      </xdr:nvSpPr>
      <xdr:spPr>
        <a:xfrm>
          <a:off x="668655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880" name="OpenSolver314"/>
        <xdr:cNvSpPr/>
      </xdr:nvSpPr>
      <xdr:spPr>
        <a:xfrm>
          <a:off x="687705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14</xdr:col>
      <xdr:colOff>0</xdr:colOff>
      <xdr:row>8</xdr:row>
      <xdr:rowOff>0</xdr:rowOff>
    </xdr:from>
    <xdr:to>
      <xdr:col>15</xdr:col>
      <xdr:colOff>0</xdr:colOff>
      <xdr:row>9</xdr:row>
      <xdr:rowOff>0</xdr:rowOff>
    </xdr:to>
    <xdr:sp macro="" textlink="">
      <xdr:nvSpPr>
        <xdr:cNvPr id="881" name="OpenSolver315"/>
        <xdr:cNvSpPr/>
      </xdr:nvSpPr>
      <xdr:spPr>
        <a:xfrm>
          <a:off x="737870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14</xdr:col>
      <xdr:colOff>0</xdr:colOff>
      <xdr:row>7</xdr:row>
      <xdr:rowOff>82550</xdr:rowOff>
    </xdr:from>
    <xdr:to>
      <xdr:col>14</xdr:col>
      <xdr:colOff>0</xdr:colOff>
      <xdr:row>8</xdr:row>
      <xdr:rowOff>82550</xdr:rowOff>
    </xdr:to>
    <xdr:cxnSp macro="">
      <xdr:nvCxnSpPr>
        <xdr:cNvPr id="882" name="OpenSolver316"/>
        <xdr:cNvCxnSpPr>
          <a:stCxn id="880" idx="3"/>
          <a:endCxn id="881" idx="1"/>
        </xdr:cNvCxnSpPr>
      </xdr:nvCxnSpPr>
      <xdr:spPr>
        <a:xfrm>
          <a:off x="7378700" y="12763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311150</xdr:colOff>
      <xdr:row>7</xdr:row>
      <xdr:rowOff>38100</xdr:rowOff>
    </xdr:from>
    <xdr:to>
      <xdr:col>14</xdr:col>
      <xdr:colOff>190500</xdr:colOff>
      <xdr:row>8</xdr:row>
      <xdr:rowOff>127000</xdr:rowOff>
    </xdr:to>
    <xdr:sp macro="" textlink="">
      <xdr:nvSpPr>
        <xdr:cNvPr id="883" name="OpenSolver317"/>
        <xdr:cNvSpPr/>
      </xdr:nvSpPr>
      <xdr:spPr>
        <a:xfrm>
          <a:off x="718820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7</xdr:row>
      <xdr:rowOff>0</xdr:rowOff>
    </xdr:from>
    <xdr:to>
      <xdr:col>15</xdr:col>
      <xdr:colOff>0</xdr:colOff>
      <xdr:row>8</xdr:row>
      <xdr:rowOff>0</xdr:rowOff>
    </xdr:to>
    <xdr:sp macro="" textlink="">
      <xdr:nvSpPr>
        <xdr:cNvPr id="884" name="OpenSolver318"/>
        <xdr:cNvSpPr/>
      </xdr:nvSpPr>
      <xdr:spPr>
        <a:xfrm>
          <a:off x="737870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16</xdr:col>
      <xdr:colOff>0</xdr:colOff>
      <xdr:row>9</xdr:row>
      <xdr:rowOff>0</xdr:rowOff>
    </xdr:to>
    <xdr:sp macro="" textlink="">
      <xdr:nvSpPr>
        <xdr:cNvPr id="885" name="OpenSolver319"/>
        <xdr:cNvSpPr/>
      </xdr:nvSpPr>
      <xdr:spPr>
        <a:xfrm>
          <a:off x="788035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0</xdr:colOff>
      <xdr:row>7</xdr:row>
      <xdr:rowOff>82550</xdr:rowOff>
    </xdr:from>
    <xdr:to>
      <xdr:col>15</xdr:col>
      <xdr:colOff>0</xdr:colOff>
      <xdr:row>8</xdr:row>
      <xdr:rowOff>82550</xdr:rowOff>
    </xdr:to>
    <xdr:cxnSp macro="">
      <xdr:nvCxnSpPr>
        <xdr:cNvPr id="886" name="OpenSolver320"/>
        <xdr:cNvCxnSpPr>
          <a:stCxn id="884" idx="3"/>
          <a:endCxn id="885" idx="1"/>
        </xdr:cNvCxnSpPr>
      </xdr:nvCxnSpPr>
      <xdr:spPr>
        <a:xfrm>
          <a:off x="7880350" y="12763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311150</xdr:colOff>
      <xdr:row>7</xdr:row>
      <xdr:rowOff>38100</xdr:rowOff>
    </xdr:from>
    <xdr:to>
      <xdr:col>15</xdr:col>
      <xdr:colOff>190500</xdr:colOff>
      <xdr:row>8</xdr:row>
      <xdr:rowOff>127000</xdr:rowOff>
    </xdr:to>
    <xdr:sp macro="" textlink="">
      <xdr:nvSpPr>
        <xdr:cNvPr id="887" name="OpenSolver321"/>
        <xdr:cNvSpPr/>
      </xdr:nvSpPr>
      <xdr:spPr>
        <a:xfrm>
          <a:off x="768985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7</xdr:row>
      <xdr:rowOff>0</xdr:rowOff>
    </xdr:from>
    <xdr:to>
      <xdr:col>16</xdr:col>
      <xdr:colOff>0</xdr:colOff>
      <xdr:row>8</xdr:row>
      <xdr:rowOff>0</xdr:rowOff>
    </xdr:to>
    <xdr:sp macro="" textlink="">
      <xdr:nvSpPr>
        <xdr:cNvPr id="888" name="OpenSolver322"/>
        <xdr:cNvSpPr/>
      </xdr:nvSpPr>
      <xdr:spPr>
        <a:xfrm>
          <a:off x="788035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16</xdr:col>
      <xdr:colOff>0</xdr:colOff>
      <xdr:row>8</xdr:row>
      <xdr:rowOff>0</xdr:rowOff>
    </xdr:from>
    <xdr:to>
      <xdr:col>17</xdr:col>
      <xdr:colOff>0</xdr:colOff>
      <xdr:row>9</xdr:row>
      <xdr:rowOff>0</xdr:rowOff>
    </xdr:to>
    <xdr:sp macro="" textlink="">
      <xdr:nvSpPr>
        <xdr:cNvPr id="889" name="OpenSolver323"/>
        <xdr:cNvSpPr/>
      </xdr:nvSpPr>
      <xdr:spPr>
        <a:xfrm>
          <a:off x="838200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7</xdr:row>
      <xdr:rowOff>82550</xdr:rowOff>
    </xdr:from>
    <xdr:to>
      <xdr:col>16</xdr:col>
      <xdr:colOff>0</xdr:colOff>
      <xdr:row>8</xdr:row>
      <xdr:rowOff>82550</xdr:rowOff>
    </xdr:to>
    <xdr:cxnSp macro="">
      <xdr:nvCxnSpPr>
        <xdr:cNvPr id="890" name="OpenSolver324"/>
        <xdr:cNvCxnSpPr>
          <a:stCxn id="888" idx="3"/>
          <a:endCxn id="889" idx="1"/>
        </xdr:cNvCxnSpPr>
      </xdr:nvCxnSpPr>
      <xdr:spPr>
        <a:xfrm>
          <a:off x="8382000" y="12763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311150</xdr:colOff>
      <xdr:row>7</xdr:row>
      <xdr:rowOff>38100</xdr:rowOff>
    </xdr:from>
    <xdr:to>
      <xdr:col>16</xdr:col>
      <xdr:colOff>190500</xdr:colOff>
      <xdr:row>8</xdr:row>
      <xdr:rowOff>127000</xdr:rowOff>
    </xdr:to>
    <xdr:sp macro="" textlink="">
      <xdr:nvSpPr>
        <xdr:cNvPr id="891" name="OpenSolver325"/>
        <xdr:cNvSpPr/>
      </xdr:nvSpPr>
      <xdr:spPr>
        <a:xfrm>
          <a:off x="819150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17</xdr:col>
      <xdr:colOff>0</xdr:colOff>
      <xdr:row>8</xdr:row>
      <xdr:rowOff>0</xdr:rowOff>
    </xdr:to>
    <xdr:sp macro="" textlink="">
      <xdr:nvSpPr>
        <xdr:cNvPr id="892" name="OpenSolver326"/>
        <xdr:cNvSpPr/>
      </xdr:nvSpPr>
      <xdr:spPr>
        <a:xfrm>
          <a:off x="838200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18</xdr:col>
      <xdr:colOff>0</xdr:colOff>
      <xdr:row>9</xdr:row>
      <xdr:rowOff>0</xdr:rowOff>
    </xdr:to>
    <xdr:sp macro="" textlink="">
      <xdr:nvSpPr>
        <xdr:cNvPr id="893" name="OpenSolver327"/>
        <xdr:cNvSpPr/>
      </xdr:nvSpPr>
      <xdr:spPr>
        <a:xfrm>
          <a:off x="888365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7</xdr:row>
      <xdr:rowOff>82550</xdr:rowOff>
    </xdr:from>
    <xdr:to>
      <xdr:col>17</xdr:col>
      <xdr:colOff>0</xdr:colOff>
      <xdr:row>8</xdr:row>
      <xdr:rowOff>82550</xdr:rowOff>
    </xdr:to>
    <xdr:cxnSp macro="">
      <xdr:nvCxnSpPr>
        <xdr:cNvPr id="894" name="OpenSolver328"/>
        <xdr:cNvCxnSpPr>
          <a:stCxn id="892" idx="3"/>
          <a:endCxn id="893" idx="1"/>
        </xdr:cNvCxnSpPr>
      </xdr:nvCxnSpPr>
      <xdr:spPr>
        <a:xfrm>
          <a:off x="8883650" y="12763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311150</xdr:colOff>
      <xdr:row>7</xdr:row>
      <xdr:rowOff>38100</xdr:rowOff>
    </xdr:from>
    <xdr:to>
      <xdr:col>17</xdr:col>
      <xdr:colOff>190500</xdr:colOff>
      <xdr:row>8</xdr:row>
      <xdr:rowOff>127000</xdr:rowOff>
    </xdr:to>
    <xdr:sp macro="" textlink="">
      <xdr:nvSpPr>
        <xdr:cNvPr id="895" name="OpenSolver329"/>
        <xdr:cNvSpPr/>
      </xdr:nvSpPr>
      <xdr:spPr>
        <a:xfrm>
          <a:off x="869315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96" name="OpenSolver330"/>
        <xdr:cNvSpPr/>
      </xdr:nvSpPr>
      <xdr:spPr>
        <a:xfrm>
          <a:off x="4870450" y="11938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97" name="OpenSolver331"/>
        <xdr:cNvSpPr/>
      </xdr:nvSpPr>
      <xdr:spPr>
        <a:xfrm>
          <a:off x="5372100" y="13589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82550</xdr:rowOff>
    </xdr:from>
    <xdr:to>
      <xdr:col>10</xdr:col>
      <xdr:colOff>0</xdr:colOff>
      <xdr:row>8</xdr:row>
      <xdr:rowOff>82550</xdr:rowOff>
    </xdr:to>
    <xdr:cxnSp macro="">
      <xdr:nvCxnSpPr>
        <xdr:cNvPr id="898" name="OpenSolver332"/>
        <xdr:cNvCxnSpPr>
          <a:stCxn id="896" idx="3"/>
          <a:endCxn id="897" idx="1"/>
        </xdr:cNvCxnSpPr>
      </xdr:nvCxnSpPr>
      <xdr:spPr>
        <a:xfrm>
          <a:off x="5372100" y="12763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311150</xdr:colOff>
      <xdr:row>7</xdr:row>
      <xdr:rowOff>38100</xdr:rowOff>
    </xdr:from>
    <xdr:to>
      <xdr:col>10</xdr:col>
      <xdr:colOff>190500</xdr:colOff>
      <xdr:row>8</xdr:row>
      <xdr:rowOff>127000</xdr:rowOff>
    </xdr:to>
    <xdr:sp macro="" textlink="">
      <xdr:nvSpPr>
        <xdr:cNvPr id="899" name="OpenSolver333"/>
        <xdr:cNvSpPr/>
      </xdr:nvSpPr>
      <xdr:spPr>
        <a:xfrm>
          <a:off x="5181600" y="1231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900" name="OpenSolver334"/>
        <xdr:cNvSpPr/>
      </xdr:nvSpPr>
      <xdr:spPr>
        <a:xfrm>
          <a:off x="236220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6</xdr:col>
      <xdr:colOff>0</xdr:colOff>
      <xdr:row>14</xdr:row>
      <xdr:rowOff>0</xdr:rowOff>
    </xdr:to>
    <xdr:sp macro="" textlink="">
      <xdr:nvSpPr>
        <xdr:cNvPr id="901" name="OpenSolver335"/>
        <xdr:cNvSpPr/>
      </xdr:nvSpPr>
      <xdr:spPr>
        <a:xfrm>
          <a:off x="286385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5</xdr:col>
      <xdr:colOff>0</xdr:colOff>
      <xdr:row>12</xdr:row>
      <xdr:rowOff>82550</xdr:rowOff>
    </xdr:from>
    <xdr:to>
      <xdr:col>5</xdr:col>
      <xdr:colOff>0</xdr:colOff>
      <xdr:row>13</xdr:row>
      <xdr:rowOff>82550</xdr:rowOff>
    </xdr:to>
    <xdr:cxnSp macro="">
      <xdr:nvCxnSpPr>
        <xdr:cNvPr id="902" name="OpenSolver336"/>
        <xdr:cNvCxnSpPr>
          <a:stCxn id="900" idx="3"/>
          <a:endCxn id="901" idx="1"/>
        </xdr:cNvCxnSpPr>
      </xdr:nvCxnSpPr>
      <xdr:spPr>
        <a:xfrm>
          <a:off x="2863850" y="21018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311150</xdr:colOff>
      <xdr:row>12</xdr:row>
      <xdr:rowOff>38100</xdr:rowOff>
    </xdr:from>
    <xdr:to>
      <xdr:col>5</xdr:col>
      <xdr:colOff>190500</xdr:colOff>
      <xdr:row>13</xdr:row>
      <xdr:rowOff>127000</xdr:rowOff>
    </xdr:to>
    <xdr:sp macro="" textlink="">
      <xdr:nvSpPr>
        <xdr:cNvPr id="903" name="OpenSolver337"/>
        <xdr:cNvSpPr/>
      </xdr:nvSpPr>
      <xdr:spPr>
        <a:xfrm>
          <a:off x="267335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904" name="OpenSolver338"/>
        <xdr:cNvSpPr/>
      </xdr:nvSpPr>
      <xdr:spPr>
        <a:xfrm>
          <a:off x="286385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905" name="OpenSolver339"/>
        <xdr:cNvSpPr/>
      </xdr:nvSpPr>
      <xdr:spPr>
        <a:xfrm>
          <a:off x="336550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12</xdr:row>
      <xdr:rowOff>82550</xdr:rowOff>
    </xdr:from>
    <xdr:to>
      <xdr:col>6</xdr:col>
      <xdr:colOff>0</xdr:colOff>
      <xdr:row>13</xdr:row>
      <xdr:rowOff>82550</xdr:rowOff>
    </xdr:to>
    <xdr:cxnSp macro="">
      <xdr:nvCxnSpPr>
        <xdr:cNvPr id="906" name="OpenSolver340"/>
        <xdr:cNvCxnSpPr>
          <a:stCxn id="904" idx="3"/>
          <a:endCxn id="905" idx="1"/>
        </xdr:cNvCxnSpPr>
      </xdr:nvCxnSpPr>
      <xdr:spPr>
        <a:xfrm>
          <a:off x="3365500" y="21018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311150</xdr:colOff>
      <xdr:row>12</xdr:row>
      <xdr:rowOff>38100</xdr:rowOff>
    </xdr:from>
    <xdr:to>
      <xdr:col>6</xdr:col>
      <xdr:colOff>190500</xdr:colOff>
      <xdr:row>13</xdr:row>
      <xdr:rowOff>127000</xdr:rowOff>
    </xdr:to>
    <xdr:sp macro="" textlink="">
      <xdr:nvSpPr>
        <xdr:cNvPr id="907" name="OpenSolver341"/>
        <xdr:cNvSpPr/>
      </xdr:nvSpPr>
      <xdr:spPr>
        <a:xfrm>
          <a:off x="317500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7</xdr:col>
      <xdr:colOff>0</xdr:colOff>
      <xdr:row>13</xdr:row>
      <xdr:rowOff>0</xdr:rowOff>
    </xdr:to>
    <xdr:sp macro="" textlink="">
      <xdr:nvSpPr>
        <xdr:cNvPr id="908" name="OpenSolver342"/>
        <xdr:cNvSpPr/>
      </xdr:nvSpPr>
      <xdr:spPr>
        <a:xfrm>
          <a:off x="336550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909" name="OpenSolver343"/>
        <xdr:cNvSpPr/>
      </xdr:nvSpPr>
      <xdr:spPr>
        <a:xfrm>
          <a:off x="386715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12</xdr:row>
      <xdr:rowOff>82550</xdr:rowOff>
    </xdr:from>
    <xdr:to>
      <xdr:col>7</xdr:col>
      <xdr:colOff>0</xdr:colOff>
      <xdr:row>13</xdr:row>
      <xdr:rowOff>82550</xdr:rowOff>
    </xdr:to>
    <xdr:cxnSp macro="">
      <xdr:nvCxnSpPr>
        <xdr:cNvPr id="910" name="OpenSolver344"/>
        <xdr:cNvCxnSpPr>
          <a:stCxn id="908" idx="3"/>
          <a:endCxn id="909" idx="1"/>
        </xdr:cNvCxnSpPr>
      </xdr:nvCxnSpPr>
      <xdr:spPr>
        <a:xfrm>
          <a:off x="3867150" y="21018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12</xdr:row>
      <xdr:rowOff>38100</xdr:rowOff>
    </xdr:from>
    <xdr:to>
      <xdr:col>7</xdr:col>
      <xdr:colOff>190500</xdr:colOff>
      <xdr:row>13</xdr:row>
      <xdr:rowOff>127000</xdr:rowOff>
    </xdr:to>
    <xdr:sp macro="" textlink="">
      <xdr:nvSpPr>
        <xdr:cNvPr id="911" name="OpenSolver345"/>
        <xdr:cNvSpPr/>
      </xdr:nvSpPr>
      <xdr:spPr>
        <a:xfrm>
          <a:off x="367665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12" name="OpenSolver346"/>
        <xdr:cNvSpPr/>
      </xdr:nvSpPr>
      <xdr:spPr>
        <a:xfrm>
          <a:off x="386715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913" name="OpenSolver347"/>
        <xdr:cNvSpPr/>
      </xdr:nvSpPr>
      <xdr:spPr>
        <a:xfrm>
          <a:off x="436880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12</xdr:row>
      <xdr:rowOff>82550</xdr:rowOff>
    </xdr:from>
    <xdr:to>
      <xdr:col>8</xdr:col>
      <xdr:colOff>0</xdr:colOff>
      <xdr:row>13</xdr:row>
      <xdr:rowOff>82550</xdr:rowOff>
    </xdr:to>
    <xdr:cxnSp macro="">
      <xdr:nvCxnSpPr>
        <xdr:cNvPr id="914" name="OpenSolver348"/>
        <xdr:cNvCxnSpPr>
          <a:stCxn id="912" idx="3"/>
          <a:endCxn id="913" idx="1"/>
        </xdr:cNvCxnSpPr>
      </xdr:nvCxnSpPr>
      <xdr:spPr>
        <a:xfrm>
          <a:off x="4368800" y="21018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311150</xdr:colOff>
      <xdr:row>12</xdr:row>
      <xdr:rowOff>38100</xdr:rowOff>
    </xdr:from>
    <xdr:to>
      <xdr:col>8</xdr:col>
      <xdr:colOff>190500</xdr:colOff>
      <xdr:row>13</xdr:row>
      <xdr:rowOff>127000</xdr:rowOff>
    </xdr:to>
    <xdr:sp macro="" textlink="">
      <xdr:nvSpPr>
        <xdr:cNvPr id="915" name="OpenSolver349"/>
        <xdr:cNvSpPr/>
      </xdr:nvSpPr>
      <xdr:spPr>
        <a:xfrm>
          <a:off x="417830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sp macro="" textlink="">
      <xdr:nvSpPr>
        <xdr:cNvPr id="916" name="OpenSolver350"/>
        <xdr:cNvSpPr/>
      </xdr:nvSpPr>
      <xdr:spPr>
        <a:xfrm>
          <a:off x="436880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917" name="OpenSolver351"/>
        <xdr:cNvSpPr/>
      </xdr:nvSpPr>
      <xdr:spPr>
        <a:xfrm>
          <a:off x="487045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12</xdr:row>
      <xdr:rowOff>82550</xdr:rowOff>
    </xdr:from>
    <xdr:to>
      <xdr:col>9</xdr:col>
      <xdr:colOff>0</xdr:colOff>
      <xdr:row>13</xdr:row>
      <xdr:rowOff>82550</xdr:rowOff>
    </xdr:to>
    <xdr:cxnSp macro="">
      <xdr:nvCxnSpPr>
        <xdr:cNvPr id="918" name="OpenSolver352"/>
        <xdr:cNvCxnSpPr>
          <a:stCxn id="916" idx="3"/>
          <a:endCxn id="917" idx="1"/>
        </xdr:cNvCxnSpPr>
      </xdr:nvCxnSpPr>
      <xdr:spPr>
        <a:xfrm>
          <a:off x="4870450" y="21018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311150</xdr:colOff>
      <xdr:row>12</xdr:row>
      <xdr:rowOff>38100</xdr:rowOff>
    </xdr:from>
    <xdr:to>
      <xdr:col>9</xdr:col>
      <xdr:colOff>190500</xdr:colOff>
      <xdr:row>13</xdr:row>
      <xdr:rowOff>127000</xdr:rowOff>
    </xdr:to>
    <xdr:sp macro="" textlink="">
      <xdr:nvSpPr>
        <xdr:cNvPr id="919" name="OpenSolver353"/>
        <xdr:cNvSpPr/>
      </xdr:nvSpPr>
      <xdr:spPr>
        <a:xfrm>
          <a:off x="467995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920" name="OpenSolver354"/>
        <xdr:cNvSpPr/>
      </xdr:nvSpPr>
      <xdr:spPr>
        <a:xfrm>
          <a:off x="487045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921" name="OpenSolver355"/>
        <xdr:cNvSpPr/>
      </xdr:nvSpPr>
      <xdr:spPr>
        <a:xfrm>
          <a:off x="537210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12</xdr:row>
      <xdr:rowOff>82550</xdr:rowOff>
    </xdr:from>
    <xdr:to>
      <xdr:col>10</xdr:col>
      <xdr:colOff>0</xdr:colOff>
      <xdr:row>13</xdr:row>
      <xdr:rowOff>82550</xdr:rowOff>
    </xdr:to>
    <xdr:cxnSp macro="">
      <xdr:nvCxnSpPr>
        <xdr:cNvPr id="922" name="OpenSolver356"/>
        <xdr:cNvCxnSpPr>
          <a:stCxn id="920" idx="3"/>
          <a:endCxn id="921" idx="1"/>
        </xdr:cNvCxnSpPr>
      </xdr:nvCxnSpPr>
      <xdr:spPr>
        <a:xfrm>
          <a:off x="5372100" y="21018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311150</xdr:colOff>
      <xdr:row>12</xdr:row>
      <xdr:rowOff>38100</xdr:rowOff>
    </xdr:from>
    <xdr:to>
      <xdr:col>10</xdr:col>
      <xdr:colOff>190500</xdr:colOff>
      <xdr:row>13</xdr:row>
      <xdr:rowOff>127000</xdr:rowOff>
    </xdr:to>
    <xdr:sp macro="" textlink="">
      <xdr:nvSpPr>
        <xdr:cNvPr id="923" name="OpenSolver357"/>
        <xdr:cNvSpPr/>
      </xdr:nvSpPr>
      <xdr:spPr>
        <a:xfrm>
          <a:off x="518160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924" name="OpenSolver358"/>
        <xdr:cNvSpPr/>
      </xdr:nvSpPr>
      <xdr:spPr>
        <a:xfrm>
          <a:off x="537210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0</xdr:colOff>
      <xdr:row>14</xdr:row>
      <xdr:rowOff>0</xdr:rowOff>
    </xdr:to>
    <xdr:sp macro="" textlink="">
      <xdr:nvSpPr>
        <xdr:cNvPr id="925" name="OpenSolver359"/>
        <xdr:cNvSpPr/>
      </xdr:nvSpPr>
      <xdr:spPr>
        <a:xfrm>
          <a:off x="587375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12</xdr:row>
      <xdr:rowOff>82550</xdr:rowOff>
    </xdr:from>
    <xdr:to>
      <xdr:col>11</xdr:col>
      <xdr:colOff>0</xdr:colOff>
      <xdr:row>13</xdr:row>
      <xdr:rowOff>82550</xdr:rowOff>
    </xdr:to>
    <xdr:cxnSp macro="">
      <xdr:nvCxnSpPr>
        <xdr:cNvPr id="926" name="OpenSolver360"/>
        <xdr:cNvCxnSpPr>
          <a:stCxn id="924" idx="3"/>
          <a:endCxn id="925" idx="1"/>
        </xdr:cNvCxnSpPr>
      </xdr:nvCxnSpPr>
      <xdr:spPr>
        <a:xfrm>
          <a:off x="5873750" y="21018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311150</xdr:colOff>
      <xdr:row>12</xdr:row>
      <xdr:rowOff>38100</xdr:rowOff>
    </xdr:from>
    <xdr:to>
      <xdr:col>11</xdr:col>
      <xdr:colOff>190500</xdr:colOff>
      <xdr:row>13</xdr:row>
      <xdr:rowOff>127000</xdr:rowOff>
    </xdr:to>
    <xdr:sp macro="" textlink="">
      <xdr:nvSpPr>
        <xdr:cNvPr id="927" name="OpenSolver361"/>
        <xdr:cNvSpPr/>
      </xdr:nvSpPr>
      <xdr:spPr>
        <a:xfrm>
          <a:off x="568325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928" name="OpenSolver362"/>
        <xdr:cNvSpPr/>
      </xdr:nvSpPr>
      <xdr:spPr>
        <a:xfrm>
          <a:off x="587375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13</xdr:col>
      <xdr:colOff>0</xdr:colOff>
      <xdr:row>14</xdr:row>
      <xdr:rowOff>0</xdr:rowOff>
    </xdr:to>
    <xdr:sp macro="" textlink="">
      <xdr:nvSpPr>
        <xdr:cNvPr id="929" name="OpenSolver363"/>
        <xdr:cNvSpPr/>
      </xdr:nvSpPr>
      <xdr:spPr>
        <a:xfrm>
          <a:off x="637540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12</xdr:row>
      <xdr:rowOff>82550</xdr:rowOff>
    </xdr:from>
    <xdr:to>
      <xdr:col>12</xdr:col>
      <xdr:colOff>0</xdr:colOff>
      <xdr:row>13</xdr:row>
      <xdr:rowOff>82550</xdr:rowOff>
    </xdr:to>
    <xdr:cxnSp macro="">
      <xdr:nvCxnSpPr>
        <xdr:cNvPr id="930" name="OpenSolver364"/>
        <xdr:cNvCxnSpPr>
          <a:stCxn id="928" idx="3"/>
          <a:endCxn id="929" idx="1"/>
        </xdr:cNvCxnSpPr>
      </xdr:nvCxnSpPr>
      <xdr:spPr>
        <a:xfrm>
          <a:off x="6375400" y="21018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311150</xdr:colOff>
      <xdr:row>12</xdr:row>
      <xdr:rowOff>38100</xdr:rowOff>
    </xdr:from>
    <xdr:to>
      <xdr:col>12</xdr:col>
      <xdr:colOff>190500</xdr:colOff>
      <xdr:row>13</xdr:row>
      <xdr:rowOff>127000</xdr:rowOff>
    </xdr:to>
    <xdr:sp macro="" textlink="">
      <xdr:nvSpPr>
        <xdr:cNvPr id="931" name="OpenSolver365"/>
        <xdr:cNvSpPr/>
      </xdr:nvSpPr>
      <xdr:spPr>
        <a:xfrm>
          <a:off x="618490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932" name="OpenSolver366"/>
        <xdr:cNvSpPr/>
      </xdr:nvSpPr>
      <xdr:spPr>
        <a:xfrm>
          <a:off x="637540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14</xdr:row>
      <xdr:rowOff>0</xdr:rowOff>
    </xdr:to>
    <xdr:sp macro="" textlink="">
      <xdr:nvSpPr>
        <xdr:cNvPr id="933" name="OpenSolver367"/>
        <xdr:cNvSpPr/>
      </xdr:nvSpPr>
      <xdr:spPr>
        <a:xfrm>
          <a:off x="687705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12</xdr:row>
      <xdr:rowOff>82550</xdr:rowOff>
    </xdr:from>
    <xdr:to>
      <xdr:col>13</xdr:col>
      <xdr:colOff>0</xdr:colOff>
      <xdr:row>13</xdr:row>
      <xdr:rowOff>82550</xdr:rowOff>
    </xdr:to>
    <xdr:cxnSp macro="">
      <xdr:nvCxnSpPr>
        <xdr:cNvPr id="934" name="OpenSolver368"/>
        <xdr:cNvCxnSpPr>
          <a:stCxn id="932" idx="3"/>
          <a:endCxn id="933" idx="1"/>
        </xdr:cNvCxnSpPr>
      </xdr:nvCxnSpPr>
      <xdr:spPr>
        <a:xfrm>
          <a:off x="6877050" y="21018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311150</xdr:colOff>
      <xdr:row>12</xdr:row>
      <xdr:rowOff>38100</xdr:rowOff>
    </xdr:from>
    <xdr:to>
      <xdr:col>13</xdr:col>
      <xdr:colOff>190500</xdr:colOff>
      <xdr:row>13</xdr:row>
      <xdr:rowOff>127000</xdr:rowOff>
    </xdr:to>
    <xdr:sp macro="" textlink="">
      <xdr:nvSpPr>
        <xdr:cNvPr id="935" name="OpenSolver369"/>
        <xdr:cNvSpPr/>
      </xdr:nvSpPr>
      <xdr:spPr>
        <a:xfrm>
          <a:off x="668655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13</xdr:row>
      <xdr:rowOff>0</xdr:rowOff>
    </xdr:to>
    <xdr:sp macro="" textlink="">
      <xdr:nvSpPr>
        <xdr:cNvPr id="936" name="OpenSolver370"/>
        <xdr:cNvSpPr/>
      </xdr:nvSpPr>
      <xdr:spPr>
        <a:xfrm>
          <a:off x="687705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15</xdr:col>
      <xdr:colOff>0</xdr:colOff>
      <xdr:row>14</xdr:row>
      <xdr:rowOff>0</xdr:rowOff>
    </xdr:to>
    <xdr:sp macro="" textlink="">
      <xdr:nvSpPr>
        <xdr:cNvPr id="937" name="OpenSolver371"/>
        <xdr:cNvSpPr/>
      </xdr:nvSpPr>
      <xdr:spPr>
        <a:xfrm>
          <a:off x="737870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14</xdr:col>
      <xdr:colOff>0</xdr:colOff>
      <xdr:row>12</xdr:row>
      <xdr:rowOff>82550</xdr:rowOff>
    </xdr:from>
    <xdr:to>
      <xdr:col>14</xdr:col>
      <xdr:colOff>0</xdr:colOff>
      <xdr:row>13</xdr:row>
      <xdr:rowOff>82550</xdr:rowOff>
    </xdr:to>
    <xdr:cxnSp macro="">
      <xdr:nvCxnSpPr>
        <xdr:cNvPr id="938" name="OpenSolver372"/>
        <xdr:cNvCxnSpPr>
          <a:stCxn id="936" idx="3"/>
          <a:endCxn id="937" idx="1"/>
        </xdr:cNvCxnSpPr>
      </xdr:nvCxnSpPr>
      <xdr:spPr>
        <a:xfrm>
          <a:off x="7378700" y="21018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311150</xdr:colOff>
      <xdr:row>12</xdr:row>
      <xdr:rowOff>38100</xdr:rowOff>
    </xdr:from>
    <xdr:to>
      <xdr:col>14</xdr:col>
      <xdr:colOff>190500</xdr:colOff>
      <xdr:row>13</xdr:row>
      <xdr:rowOff>127000</xdr:rowOff>
    </xdr:to>
    <xdr:sp macro="" textlink="">
      <xdr:nvSpPr>
        <xdr:cNvPr id="939" name="OpenSolver373"/>
        <xdr:cNvSpPr/>
      </xdr:nvSpPr>
      <xdr:spPr>
        <a:xfrm>
          <a:off x="718820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12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940" name="OpenSolver374"/>
        <xdr:cNvSpPr/>
      </xdr:nvSpPr>
      <xdr:spPr>
        <a:xfrm>
          <a:off x="737870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16</xdr:col>
      <xdr:colOff>0</xdr:colOff>
      <xdr:row>14</xdr:row>
      <xdr:rowOff>0</xdr:rowOff>
    </xdr:to>
    <xdr:sp macro="" textlink="">
      <xdr:nvSpPr>
        <xdr:cNvPr id="941" name="OpenSolver375"/>
        <xdr:cNvSpPr/>
      </xdr:nvSpPr>
      <xdr:spPr>
        <a:xfrm>
          <a:off x="788035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0</xdr:colOff>
      <xdr:row>12</xdr:row>
      <xdr:rowOff>82550</xdr:rowOff>
    </xdr:from>
    <xdr:to>
      <xdr:col>15</xdr:col>
      <xdr:colOff>0</xdr:colOff>
      <xdr:row>13</xdr:row>
      <xdr:rowOff>82550</xdr:rowOff>
    </xdr:to>
    <xdr:cxnSp macro="">
      <xdr:nvCxnSpPr>
        <xdr:cNvPr id="942" name="OpenSolver376"/>
        <xdr:cNvCxnSpPr>
          <a:stCxn id="940" idx="3"/>
          <a:endCxn id="941" idx="1"/>
        </xdr:cNvCxnSpPr>
      </xdr:nvCxnSpPr>
      <xdr:spPr>
        <a:xfrm>
          <a:off x="7880350" y="21018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311150</xdr:colOff>
      <xdr:row>12</xdr:row>
      <xdr:rowOff>38100</xdr:rowOff>
    </xdr:from>
    <xdr:to>
      <xdr:col>15</xdr:col>
      <xdr:colOff>190500</xdr:colOff>
      <xdr:row>13</xdr:row>
      <xdr:rowOff>127000</xdr:rowOff>
    </xdr:to>
    <xdr:sp macro="" textlink="">
      <xdr:nvSpPr>
        <xdr:cNvPr id="943" name="OpenSolver377"/>
        <xdr:cNvSpPr/>
      </xdr:nvSpPr>
      <xdr:spPr>
        <a:xfrm>
          <a:off x="768985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16</xdr:col>
      <xdr:colOff>0</xdr:colOff>
      <xdr:row>13</xdr:row>
      <xdr:rowOff>0</xdr:rowOff>
    </xdr:to>
    <xdr:sp macro="" textlink="">
      <xdr:nvSpPr>
        <xdr:cNvPr id="944" name="OpenSolver378"/>
        <xdr:cNvSpPr/>
      </xdr:nvSpPr>
      <xdr:spPr>
        <a:xfrm>
          <a:off x="788035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16</xdr:col>
      <xdr:colOff>0</xdr:colOff>
      <xdr:row>13</xdr:row>
      <xdr:rowOff>0</xdr:rowOff>
    </xdr:from>
    <xdr:to>
      <xdr:col>17</xdr:col>
      <xdr:colOff>0</xdr:colOff>
      <xdr:row>14</xdr:row>
      <xdr:rowOff>0</xdr:rowOff>
    </xdr:to>
    <xdr:sp macro="" textlink="">
      <xdr:nvSpPr>
        <xdr:cNvPr id="945" name="OpenSolver379"/>
        <xdr:cNvSpPr/>
      </xdr:nvSpPr>
      <xdr:spPr>
        <a:xfrm>
          <a:off x="838200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12</xdr:row>
      <xdr:rowOff>82550</xdr:rowOff>
    </xdr:from>
    <xdr:to>
      <xdr:col>16</xdr:col>
      <xdr:colOff>0</xdr:colOff>
      <xdr:row>13</xdr:row>
      <xdr:rowOff>82550</xdr:rowOff>
    </xdr:to>
    <xdr:cxnSp macro="">
      <xdr:nvCxnSpPr>
        <xdr:cNvPr id="946" name="OpenSolver380"/>
        <xdr:cNvCxnSpPr>
          <a:stCxn id="944" idx="3"/>
          <a:endCxn id="945" idx="1"/>
        </xdr:cNvCxnSpPr>
      </xdr:nvCxnSpPr>
      <xdr:spPr>
        <a:xfrm>
          <a:off x="8382000" y="21018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311150</xdr:colOff>
      <xdr:row>12</xdr:row>
      <xdr:rowOff>38100</xdr:rowOff>
    </xdr:from>
    <xdr:to>
      <xdr:col>16</xdr:col>
      <xdr:colOff>190500</xdr:colOff>
      <xdr:row>13</xdr:row>
      <xdr:rowOff>127000</xdr:rowOff>
    </xdr:to>
    <xdr:sp macro="" textlink="">
      <xdr:nvSpPr>
        <xdr:cNvPr id="947" name="OpenSolver381"/>
        <xdr:cNvSpPr/>
      </xdr:nvSpPr>
      <xdr:spPr>
        <a:xfrm>
          <a:off x="819150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12</xdr:row>
      <xdr:rowOff>0</xdr:rowOff>
    </xdr:from>
    <xdr:to>
      <xdr:col>17</xdr:col>
      <xdr:colOff>0</xdr:colOff>
      <xdr:row>13</xdr:row>
      <xdr:rowOff>0</xdr:rowOff>
    </xdr:to>
    <xdr:sp macro="" textlink="">
      <xdr:nvSpPr>
        <xdr:cNvPr id="948" name="OpenSolver382"/>
        <xdr:cNvSpPr/>
      </xdr:nvSpPr>
      <xdr:spPr>
        <a:xfrm>
          <a:off x="8382000" y="20193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17</xdr:col>
      <xdr:colOff>0</xdr:colOff>
      <xdr:row>13</xdr:row>
      <xdr:rowOff>0</xdr:rowOff>
    </xdr:from>
    <xdr:to>
      <xdr:col>18</xdr:col>
      <xdr:colOff>0</xdr:colOff>
      <xdr:row>14</xdr:row>
      <xdr:rowOff>0</xdr:rowOff>
    </xdr:to>
    <xdr:sp macro="" textlink="">
      <xdr:nvSpPr>
        <xdr:cNvPr id="949" name="OpenSolver383"/>
        <xdr:cNvSpPr/>
      </xdr:nvSpPr>
      <xdr:spPr>
        <a:xfrm>
          <a:off x="8883650" y="21844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12</xdr:row>
      <xdr:rowOff>82550</xdr:rowOff>
    </xdr:from>
    <xdr:to>
      <xdr:col>17</xdr:col>
      <xdr:colOff>0</xdr:colOff>
      <xdr:row>13</xdr:row>
      <xdr:rowOff>82550</xdr:rowOff>
    </xdr:to>
    <xdr:cxnSp macro="">
      <xdr:nvCxnSpPr>
        <xdr:cNvPr id="950" name="OpenSolver384"/>
        <xdr:cNvCxnSpPr>
          <a:stCxn id="948" idx="3"/>
          <a:endCxn id="949" idx="1"/>
        </xdr:cNvCxnSpPr>
      </xdr:nvCxnSpPr>
      <xdr:spPr>
        <a:xfrm>
          <a:off x="8883650" y="21018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311150</xdr:colOff>
      <xdr:row>12</xdr:row>
      <xdr:rowOff>38100</xdr:rowOff>
    </xdr:from>
    <xdr:to>
      <xdr:col>17</xdr:col>
      <xdr:colOff>190500</xdr:colOff>
      <xdr:row>13</xdr:row>
      <xdr:rowOff>127000</xdr:rowOff>
    </xdr:to>
    <xdr:sp macro="" textlink="">
      <xdr:nvSpPr>
        <xdr:cNvPr id="951" name="OpenSolver385"/>
        <xdr:cNvSpPr/>
      </xdr:nvSpPr>
      <xdr:spPr>
        <a:xfrm>
          <a:off x="8693150" y="2057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952" name="OpenSolver386"/>
        <xdr:cNvSpPr/>
      </xdr:nvSpPr>
      <xdr:spPr>
        <a:xfrm>
          <a:off x="236220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6</xdr:col>
      <xdr:colOff>0</xdr:colOff>
      <xdr:row>19</xdr:row>
      <xdr:rowOff>0</xdr:rowOff>
    </xdr:to>
    <xdr:sp macro="" textlink="">
      <xdr:nvSpPr>
        <xdr:cNvPr id="953" name="OpenSolver387"/>
        <xdr:cNvSpPr/>
      </xdr:nvSpPr>
      <xdr:spPr>
        <a:xfrm>
          <a:off x="286385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5</xdr:col>
      <xdr:colOff>0</xdr:colOff>
      <xdr:row>17</xdr:row>
      <xdr:rowOff>82550</xdr:rowOff>
    </xdr:from>
    <xdr:to>
      <xdr:col>5</xdr:col>
      <xdr:colOff>0</xdr:colOff>
      <xdr:row>18</xdr:row>
      <xdr:rowOff>82550</xdr:rowOff>
    </xdr:to>
    <xdr:cxnSp macro="">
      <xdr:nvCxnSpPr>
        <xdr:cNvPr id="954" name="OpenSolver388"/>
        <xdr:cNvCxnSpPr>
          <a:stCxn id="952" idx="3"/>
          <a:endCxn id="953" idx="1"/>
        </xdr:cNvCxnSpPr>
      </xdr:nvCxnSpPr>
      <xdr:spPr>
        <a:xfrm>
          <a:off x="2863850" y="29273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311150</xdr:colOff>
      <xdr:row>17</xdr:row>
      <xdr:rowOff>38100</xdr:rowOff>
    </xdr:from>
    <xdr:to>
      <xdr:col>5</xdr:col>
      <xdr:colOff>190500</xdr:colOff>
      <xdr:row>18</xdr:row>
      <xdr:rowOff>127000</xdr:rowOff>
    </xdr:to>
    <xdr:sp macro="" textlink="">
      <xdr:nvSpPr>
        <xdr:cNvPr id="955" name="OpenSolver389"/>
        <xdr:cNvSpPr/>
      </xdr:nvSpPr>
      <xdr:spPr>
        <a:xfrm>
          <a:off x="267335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956" name="OpenSolver390"/>
        <xdr:cNvSpPr/>
      </xdr:nvSpPr>
      <xdr:spPr>
        <a:xfrm>
          <a:off x="286385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</xdr:col>
      <xdr:colOff>0</xdr:colOff>
      <xdr:row>18</xdr:row>
      <xdr:rowOff>0</xdr:rowOff>
    </xdr:from>
    <xdr:to>
      <xdr:col>7</xdr:col>
      <xdr:colOff>0</xdr:colOff>
      <xdr:row>19</xdr:row>
      <xdr:rowOff>0</xdr:rowOff>
    </xdr:to>
    <xdr:sp macro="" textlink="">
      <xdr:nvSpPr>
        <xdr:cNvPr id="957" name="OpenSolver391"/>
        <xdr:cNvSpPr/>
      </xdr:nvSpPr>
      <xdr:spPr>
        <a:xfrm>
          <a:off x="336550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82550</xdr:rowOff>
    </xdr:from>
    <xdr:to>
      <xdr:col>6</xdr:col>
      <xdr:colOff>0</xdr:colOff>
      <xdr:row>18</xdr:row>
      <xdr:rowOff>82550</xdr:rowOff>
    </xdr:to>
    <xdr:cxnSp macro="">
      <xdr:nvCxnSpPr>
        <xdr:cNvPr id="958" name="OpenSolver392"/>
        <xdr:cNvCxnSpPr>
          <a:stCxn id="956" idx="3"/>
          <a:endCxn id="957" idx="1"/>
        </xdr:cNvCxnSpPr>
      </xdr:nvCxnSpPr>
      <xdr:spPr>
        <a:xfrm>
          <a:off x="3365500" y="29273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311150</xdr:colOff>
      <xdr:row>17</xdr:row>
      <xdr:rowOff>38100</xdr:rowOff>
    </xdr:from>
    <xdr:to>
      <xdr:col>6</xdr:col>
      <xdr:colOff>190500</xdr:colOff>
      <xdr:row>18</xdr:row>
      <xdr:rowOff>127000</xdr:rowOff>
    </xdr:to>
    <xdr:sp macro="" textlink="">
      <xdr:nvSpPr>
        <xdr:cNvPr id="959" name="OpenSolver393"/>
        <xdr:cNvSpPr/>
      </xdr:nvSpPr>
      <xdr:spPr>
        <a:xfrm>
          <a:off x="317500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960" name="OpenSolver394"/>
        <xdr:cNvSpPr/>
      </xdr:nvSpPr>
      <xdr:spPr>
        <a:xfrm>
          <a:off x="336550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961" name="OpenSolver395"/>
        <xdr:cNvSpPr/>
      </xdr:nvSpPr>
      <xdr:spPr>
        <a:xfrm>
          <a:off x="386715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17</xdr:row>
      <xdr:rowOff>82550</xdr:rowOff>
    </xdr:from>
    <xdr:to>
      <xdr:col>7</xdr:col>
      <xdr:colOff>0</xdr:colOff>
      <xdr:row>18</xdr:row>
      <xdr:rowOff>82550</xdr:rowOff>
    </xdr:to>
    <xdr:cxnSp macro="">
      <xdr:nvCxnSpPr>
        <xdr:cNvPr id="962" name="OpenSolver396"/>
        <xdr:cNvCxnSpPr>
          <a:stCxn id="960" idx="3"/>
          <a:endCxn id="961" idx="1"/>
        </xdr:cNvCxnSpPr>
      </xdr:nvCxnSpPr>
      <xdr:spPr>
        <a:xfrm>
          <a:off x="3867150" y="29273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17</xdr:row>
      <xdr:rowOff>38100</xdr:rowOff>
    </xdr:from>
    <xdr:to>
      <xdr:col>7</xdr:col>
      <xdr:colOff>190500</xdr:colOff>
      <xdr:row>18</xdr:row>
      <xdr:rowOff>127000</xdr:rowOff>
    </xdr:to>
    <xdr:sp macro="" textlink="">
      <xdr:nvSpPr>
        <xdr:cNvPr id="963" name="OpenSolver397"/>
        <xdr:cNvSpPr/>
      </xdr:nvSpPr>
      <xdr:spPr>
        <a:xfrm>
          <a:off x="367665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64" name="OpenSolver398"/>
        <xdr:cNvSpPr/>
      </xdr:nvSpPr>
      <xdr:spPr>
        <a:xfrm>
          <a:off x="386715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sp macro="" textlink="">
      <xdr:nvSpPr>
        <xdr:cNvPr id="965" name="OpenSolver399"/>
        <xdr:cNvSpPr/>
      </xdr:nvSpPr>
      <xdr:spPr>
        <a:xfrm>
          <a:off x="436880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82550</xdr:rowOff>
    </xdr:from>
    <xdr:to>
      <xdr:col>8</xdr:col>
      <xdr:colOff>0</xdr:colOff>
      <xdr:row>18</xdr:row>
      <xdr:rowOff>82550</xdr:rowOff>
    </xdr:to>
    <xdr:cxnSp macro="">
      <xdr:nvCxnSpPr>
        <xdr:cNvPr id="966" name="OpenSolver400"/>
        <xdr:cNvCxnSpPr>
          <a:stCxn id="964" idx="3"/>
          <a:endCxn id="965" idx="1"/>
        </xdr:cNvCxnSpPr>
      </xdr:nvCxnSpPr>
      <xdr:spPr>
        <a:xfrm>
          <a:off x="4368800" y="29273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311150</xdr:colOff>
      <xdr:row>17</xdr:row>
      <xdr:rowOff>38100</xdr:rowOff>
    </xdr:from>
    <xdr:to>
      <xdr:col>8</xdr:col>
      <xdr:colOff>190500</xdr:colOff>
      <xdr:row>18</xdr:row>
      <xdr:rowOff>127000</xdr:rowOff>
    </xdr:to>
    <xdr:sp macro="" textlink="">
      <xdr:nvSpPr>
        <xdr:cNvPr id="967" name="OpenSolver401"/>
        <xdr:cNvSpPr/>
      </xdr:nvSpPr>
      <xdr:spPr>
        <a:xfrm>
          <a:off x="417830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968" name="OpenSolver402"/>
        <xdr:cNvSpPr/>
      </xdr:nvSpPr>
      <xdr:spPr>
        <a:xfrm>
          <a:off x="436880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969" name="OpenSolver403"/>
        <xdr:cNvSpPr/>
      </xdr:nvSpPr>
      <xdr:spPr>
        <a:xfrm>
          <a:off x="487045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17</xdr:row>
      <xdr:rowOff>82550</xdr:rowOff>
    </xdr:from>
    <xdr:to>
      <xdr:col>9</xdr:col>
      <xdr:colOff>0</xdr:colOff>
      <xdr:row>18</xdr:row>
      <xdr:rowOff>82550</xdr:rowOff>
    </xdr:to>
    <xdr:cxnSp macro="">
      <xdr:nvCxnSpPr>
        <xdr:cNvPr id="970" name="OpenSolver404"/>
        <xdr:cNvCxnSpPr>
          <a:stCxn id="968" idx="3"/>
          <a:endCxn id="969" idx="1"/>
        </xdr:cNvCxnSpPr>
      </xdr:nvCxnSpPr>
      <xdr:spPr>
        <a:xfrm>
          <a:off x="4870450" y="29273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311150</xdr:colOff>
      <xdr:row>17</xdr:row>
      <xdr:rowOff>38100</xdr:rowOff>
    </xdr:from>
    <xdr:to>
      <xdr:col>9</xdr:col>
      <xdr:colOff>190500</xdr:colOff>
      <xdr:row>18</xdr:row>
      <xdr:rowOff>127000</xdr:rowOff>
    </xdr:to>
    <xdr:sp macro="" textlink="">
      <xdr:nvSpPr>
        <xdr:cNvPr id="971" name="OpenSolver405"/>
        <xdr:cNvSpPr/>
      </xdr:nvSpPr>
      <xdr:spPr>
        <a:xfrm>
          <a:off x="467995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972" name="OpenSolver406"/>
        <xdr:cNvSpPr/>
      </xdr:nvSpPr>
      <xdr:spPr>
        <a:xfrm>
          <a:off x="487045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0</xdr:colOff>
      <xdr:row>19</xdr:row>
      <xdr:rowOff>0</xdr:rowOff>
    </xdr:to>
    <xdr:sp macro="" textlink="">
      <xdr:nvSpPr>
        <xdr:cNvPr id="973" name="OpenSolver407"/>
        <xdr:cNvSpPr/>
      </xdr:nvSpPr>
      <xdr:spPr>
        <a:xfrm>
          <a:off x="537210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17</xdr:row>
      <xdr:rowOff>82550</xdr:rowOff>
    </xdr:from>
    <xdr:to>
      <xdr:col>10</xdr:col>
      <xdr:colOff>0</xdr:colOff>
      <xdr:row>18</xdr:row>
      <xdr:rowOff>82550</xdr:rowOff>
    </xdr:to>
    <xdr:cxnSp macro="">
      <xdr:nvCxnSpPr>
        <xdr:cNvPr id="974" name="OpenSolver408"/>
        <xdr:cNvCxnSpPr>
          <a:stCxn id="972" idx="3"/>
          <a:endCxn id="973" idx="1"/>
        </xdr:cNvCxnSpPr>
      </xdr:nvCxnSpPr>
      <xdr:spPr>
        <a:xfrm>
          <a:off x="5372100" y="29273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311150</xdr:colOff>
      <xdr:row>17</xdr:row>
      <xdr:rowOff>38100</xdr:rowOff>
    </xdr:from>
    <xdr:to>
      <xdr:col>10</xdr:col>
      <xdr:colOff>190500</xdr:colOff>
      <xdr:row>18</xdr:row>
      <xdr:rowOff>127000</xdr:rowOff>
    </xdr:to>
    <xdr:sp macro="" textlink="">
      <xdr:nvSpPr>
        <xdr:cNvPr id="975" name="OpenSolver409"/>
        <xdr:cNvSpPr/>
      </xdr:nvSpPr>
      <xdr:spPr>
        <a:xfrm>
          <a:off x="518160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11</xdr:col>
      <xdr:colOff>0</xdr:colOff>
      <xdr:row>18</xdr:row>
      <xdr:rowOff>0</xdr:rowOff>
    </xdr:to>
    <xdr:sp macro="" textlink="">
      <xdr:nvSpPr>
        <xdr:cNvPr id="976" name="OpenSolver410"/>
        <xdr:cNvSpPr/>
      </xdr:nvSpPr>
      <xdr:spPr>
        <a:xfrm>
          <a:off x="537210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19</xdr:row>
      <xdr:rowOff>0</xdr:rowOff>
    </xdr:to>
    <xdr:sp macro="" textlink="">
      <xdr:nvSpPr>
        <xdr:cNvPr id="977" name="OpenSolver411"/>
        <xdr:cNvSpPr/>
      </xdr:nvSpPr>
      <xdr:spPr>
        <a:xfrm>
          <a:off x="587375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17</xdr:row>
      <xdr:rowOff>82550</xdr:rowOff>
    </xdr:from>
    <xdr:to>
      <xdr:col>11</xdr:col>
      <xdr:colOff>0</xdr:colOff>
      <xdr:row>18</xdr:row>
      <xdr:rowOff>82550</xdr:rowOff>
    </xdr:to>
    <xdr:cxnSp macro="">
      <xdr:nvCxnSpPr>
        <xdr:cNvPr id="978" name="OpenSolver412"/>
        <xdr:cNvCxnSpPr>
          <a:stCxn id="976" idx="3"/>
          <a:endCxn id="977" idx="1"/>
        </xdr:cNvCxnSpPr>
      </xdr:nvCxnSpPr>
      <xdr:spPr>
        <a:xfrm>
          <a:off x="5873750" y="29273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311150</xdr:colOff>
      <xdr:row>17</xdr:row>
      <xdr:rowOff>38100</xdr:rowOff>
    </xdr:from>
    <xdr:to>
      <xdr:col>11</xdr:col>
      <xdr:colOff>190500</xdr:colOff>
      <xdr:row>18</xdr:row>
      <xdr:rowOff>127000</xdr:rowOff>
    </xdr:to>
    <xdr:sp macro="" textlink="">
      <xdr:nvSpPr>
        <xdr:cNvPr id="979" name="OpenSolver413"/>
        <xdr:cNvSpPr/>
      </xdr:nvSpPr>
      <xdr:spPr>
        <a:xfrm>
          <a:off x="568325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17</xdr:row>
      <xdr:rowOff>0</xdr:rowOff>
    </xdr:from>
    <xdr:to>
      <xdr:col>12</xdr:col>
      <xdr:colOff>0</xdr:colOff>
      <xdr:row>18</xdr:row>
      <xdr:rowOff>0</xdr:rowOff>
    </xdr:to>
    <xdr:sp macro="" textlink="">
      <xdr:nvSpPr>
        <xdr:cNvPr id="980" name="OpenSolver414"/>
        <xdr:cNvSpPr/>
      </xdr:nvSpPr>
      <xdr:spPr>
        <a:xfrm>
          <a:off x="587375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19</xdr:row>
      <xdr:rowOff>0</xdr:rowOff>
    </xdr:to>
    <xdr:sp macro="" textlink="">
      <xdr:nvSpPr>
        <xdr:cNvPr id="981" name="OpenSolver415"/>
        <xdr:cNvSpPr/>
      </xdr:nvSpPr>
      <xdr:spPr>
        <a:xfrm>
          <a:off x="637540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17</xdr:row>
      <xdr:rowOff>82550</xdr:rowOff>
    </xdr:from>
    <xdr:to>
      <xdr:col>12</xdr:col>
      <xdr:colOff>0</xdr:colOff>
      <xdr:row>18</xdr:row>
      <xdr:rowOff>82550</xdr:rowOff>
    </xdr:to>
    <xdr:cxnSp macro="">
      <xdr:nvCxnSpPr>
        <xdr:cNvPr id="982" name="OpenSolver416"/>
        <xdr:cNvCxnSpPr>
          <a:stCxn id="980" idx="3"/>
          <a:endCxn id="981" idx="1"/>
        </xdr:cNvCxnSpPr>
      </xdr:nvCxnSpPr>
      <xdr:spPr>
        <a:xfrm>
          <a:off x="6375400" y="29273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311150</xdr:colOff>
      <xdr:row>17</xdr:row>
      <xdr:rowOff>38100</xdr:rowOff>
    </xdr:from>
    <xdr:to>
      <xdr:col>12</xdr:col>
      <xdr:colOff>190500</xdr:colOff>
      <xdr:row>18</xdr:row>
      <xdr:rowOff>127000</xdr:rowOff>
    </xdr:to>
    <xdr:sp macro="" textlink="">
      <xdr:nvSpPr>
        <xdr:cNvPr id="983" name="OpenSolver417"/>
        <xdr:cNvSpPr/>
      </xdr:nvSpPr>
      <xdr:spPr>
        <a:xfrm>
          <a:off x="618490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984" name="OpenSolver418"/>
        <xdr:cNvSpPr/>
      </xdr:nvSpPr>
      <xdr:spPr>
        <a:xfrm>
          <a:off x="637540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19</xdr:row>
      <xdr:rowOff>0</xdr:rowOff>
    </xdr:to>
    <xdr:sp macro="" textlink="">
      <xdr:nvSpPr>
        <xdr:cNvPr id="985" name="OpenSolver419"/>
        <xdr:cNvSpPr/>
      </xdr:nvSpPr>
      <xdr:spPr>
        <a:xfrm>
          <a:off x="687705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17</xdr:row>
      <xdr:rowOff>82550</xdr:rowOff>
    </xdr:from>
    <xdr:to>
      <xdr:col>13</xdr:col>
      <xdr:colOff>0</xdr:colOff>
      <xdr:row>18</xdr:row>
      <xdr:rowOff>82550</xdr:rowOff>
    </xdr:to>
    <xdr:cxnSp macro="">
      <xdr:nvCxnSpPr>
        <xdr:cNvPr id="986" name="OpenSolver420"/>
        <xdr:cNvCxnSpPr>
          <a:stCxn id="984" idx="3"/>
          <a:endCxn id="985" idx="1"/>
        </xdr:cNvCxnSpPr>
      </xdr:nvCxnSpPr>
      <xdr:spPr>
        <a:xfrm>
          <a:off x="6877050" y="29273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311150</xdr:colOff>
      <xdr:row>17</xdr:row>
      <xdr:rowOff>38100</xdr:rowOff>
    </xdr:from>
    <xdr:to>
      <xdr:col>13</xdr:col>
      <xdr:colOff>190500</xdr:colOff>
      <xdr:row>18</xdr:row>
      <xdr:rowOff>127000</xdr:rowOff>
    </xdr:to>
    <xdr:sp macro="" textlink="">
      <xdr:nvSpPr>
        <xdr:cNvPr id="987" name="OpenSolver421"/>
        <xdr:cNvSpPr/>
      </xdr:nvSpPr>
      <xdr:spPr>
        <a:xfrm>
          <a:off x="668655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18</xdr:row>
      <xdr:rowOff>0</xdr:rowOff>
    </xdr:to>
    <xdr:sp macro="" textlink="">
      <xdr:nvSpPr>
        <xdr:cNvPr id="988" name="OpenSolver422"/>
        <xdr:cNvSpPr/>
      </xdr:nvSpPr>
      <xdr:spPr>
        <a:xfrm>
          <a:off x="687705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14</xdr:col>
      <xdr:colOff>0</xdr:colOff>
      <xdr:row>18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989" name="OpenSolver423"/>
        <xdr:cNvSpPr/>
      </xdr:nvSpPr>
      <xdr:spPr>
        <a:xfrm>
          <a:off x="737870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14</xdr:col>
      <xdr:colOff>0</xdr:colOff>
      <xdr:row>17</xdr:row>
      <xdr:rowOff>82550</xdr:rowOff>
    </xdr:from>
    <xdr:to>
      <xdr:col>14</xdr:col>
      <xdr:colOff>0</xdr:colOff>
      <xdr:row>18</xdr:row>
      <xdr:rowOff>82550</xdr:rowOff>
    </xdr:to>
    <xdr:cxnSp macro="">
      <xdr:nvCxnSpPr>
        <xdr:cNvPr id="990" name="OpenSolver424"/>
        <xdr:cNvCxnSpPr>
          <a:stCxn id="988" idx="3"/>
          <a:endCxn id="989" idx="1"/>
        </xdr:cNvCxnSpPr>
      </xdr:nvCxnSpPr>
      <xdr:spPr>
        <a:xfrm>
          <a:off x="7378700" y="29273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311150</xdr:colOff>
      <xdr:row>17</xdr:row>
      <xdr:rowOff>38100</xdr:rowOff>
    </xdr:from>
    <xdr:to>
      <xdr:col>14</xdr:col>
      <xdr:colOff>190500</xdr:colOff>
      <xdr:row>18</xdr:row>
      <xdr:rowOff>127000</xdr:rowOff>
    </xdr:to>
    <xdr:sp macro="" textlink="">
      <xdr:nvSpPr>
        <xdr:cNvPr id="991" name="OpenSolver425"/>
        <xdr:cNvSpPr/>
      </xdr:nvSpPr>
      <xdr:spPr>
        <a:xfrm>
          <a:off x="718820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992" name="OpenSolver426"/>
        <xdr:cNvSpPr/>
      </xdr:nvSpPr>
      <xdr:spPr>
        <a:xfrm>
          <a:off x="737870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19</xdr:row>
      <xdr:rowOff>0</xdr:rowOff>
    </xdr:to>
    <xdr:sp macro="" textlink="">
      <xdr:nvSpPr>
        <xdr:cNvPr id="993" name="OpenSolver427"/>
        <xdr:cNvSpPr/>
      </xdr:nvSpPr>
      <xdr:spPr>
        <a:xfrm>
          <a:off x="788035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0</xdr:colOff>
      <xdr:row>17</xdr:row>
      <xdr:rowOff>82550</xdr:rowOff>
    </xdr:from>
    <xdr:to>
      <xdr:col>15</xdr:col>
      <xdr:colOff>0</xdr:colOff>
      <xdr:row>18</xdr:row>
      <xdr:rowOff>82550</xdr:rowOff>
    </xdr:to>
    <xdr:cxnSp macro="">
      <xdr:nvCxnSpPr>
        <xdr:cNvPr id="994" name="OpenSolver428"/>
        <xdr:cNvCxnSpPr>
          <a:stCxn id="992" idx="3"/>
          <a:endCxn id="993" idx="1"/>
        </xdr:cNvCxnSpPr>
      </xdr:nvCxnSpPr>
      <xdr:spPr>
        <a:xfrm>
          <a:off x="7880350" y="29273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311150</xdr:colOff>
      <xdr:row>17</xdr:row>
      <xdr:rowOff>38100</xdr:rowOff>
    </xdr:from>
    <xdr:to>
      <xdr:col>15</xdr:col>
      <xdr:colOff>190500</xdr:colOff>
      <xdr:row>18</xdr:row>
      <xdr:rowOff>127000</xdr:rowOff>
    </xdr:to>
    <xdr:sp macro="" textlink="">
      <xdr:nvSpPr>
        <xdr:cNvPr id="995" name="OpenSolver429"/>
        <xdr:cNvSpPr/>
      </xdr:nvSpPr>
      <xdr:spPr>
        <a:xfrm>
          <a:off x="768985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17</xdr:row>
      <xdr:rowOff>0</xdr:rowOff>
    </xdr:from>
    <xdr:to>
      <xdr:col>16</xdr:col>
      <xdr:colOff>0</xdr:colOff>
      <xdr:row>18</xdr:row>
      <xdr:rowOff>0</xdr:rowOff>
    </xdr:to>
    <xdr:sp macro="" textlink="">
      <xdr:nvSpPr>
        <xdr:cNvPr id="996" name="OpenSolver430"/>
        <xdr:cNvSpPr/>
      </xdr:nvSpPr>
      <xdr:spPr>
        <a:xfrm>
          <a:off x="788035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19</xdr:row>
      <xdr:rowOff>0</xdr:rowOff>
    </xdr:to>
    <xdr:sp macro="" textlink="">
      <xdr:nvSpPr>
        <xdr:cNvPr id="997" name="OpenSolver431"/>
        <xdr:cNvSpPr/>
      </xdr:nvSpPr>
      <xdr:spPr>
        <a:xfrm>
          <a:off x="838200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17</xdr:row>
      <xdr:rowOff>82550</xdr:rowOff>
    </xdr:from>
    <xdr:to>
      <xdr:col>16</xdr:col>
      <xdr:colOff>0</xdr:colOff>
      <xdr:row>18</xdr:row>
      <xdr:rowOff>82550</xdr:rowOff>
    </xdr:to>
    <xdr:cxnSp macro="">
      <xdr:nvCxnSpPr>
        <xdr:cNvPr id="998" name="OpenSolver432"/>
        <xdr:cNvCxnSpPr>
          <a:stCxn id="996" idx="3"/>
          <a:endCxn id="997" idx="1"/>
        </xdr:cNvCxnSpPr>
      </xdr:nvCxnSpPr>
      <xdr:spPr>
        <a:xfrm>
          <a:off x="8382000" y="29273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311150</xdr:colOff>
      <xdr:row>17</xdr:row>
      <xdr:rowOff>38100</xdr:rowOff>
    </xdr:from>
    <xdr:to>
      <xdr:col>16</xdr:col>
      <xdr:colOff>190500</xdr:colOff>
      <xdr:row>18</xdr:row>
      <xdr:rowOff>127000</xdr:rowOff>
    </xdr:to>
    <xdr:sp macro="" textlink="">
      <xdr:nvSpPr>
        <xdr:cNvPr id="999" name="OpenSolver433"/>
        <xdr:cNvSpPr/>
      </xdr:nvSpPr>
      <xdr:spPr>
        <a:xfrm>
          <a:off x="819150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17</xdr:row>
      <xdr:rowOff>0</xdr:rowOff>
    </xdr:from>
    <xdr:to>
      <xdr:col>17</xdr:col>
      <xdr:colOff>0</xdr:colOff>
      <xdr:row>18</xdr:row>
      <xdr:rowOff>0</xdr:rowOff>
    </xdr:to>
    <xdr:sp macro="" textlink="">
      <xdr:nvSpPr>
        <xdr:cNvPr id="1000" name="OpenSolver434"/>
        <xdr:cNvSpPr/>
      </xdr:nvSpPr>
      <xdr:spPr>
        <a:xfrm>
          <a:off x="8382000" y="28448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17</xdr:col>
      <xdr:colOff>0</xdr:colOff>
      <xdr:row>18</xdr:row>
      <xdr:rowOff>0</xdr:rowOff>
    </xdr:from>
    <xdr:to>
      <xdr:col>18</xdr:col>
      <xdr:colOff>0</xdr:colOff>
      <xdr:row>19</xdr:row>
      <xdr:rowOff>0</xdr:rowOff>
    </xdr:to>
    <xdr:sp macro="" textlink="">
      <xdr:nvSpPr>
        <xdr:cNvPr id="1001" name="OpenSolver435"/>
        <xdr:cNvSpPr/>
      </xdr:nvSpPr>
      <xdr:spPr>
        <a:xfrm>
          <a:off x="8883650" y="30099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17</xdr:row>
      <xdr:rowOff>82550</xdr:rowOff>
    </xdr:from>
    <xdr:to>
      <xdr:col>17</xdr:col>
      <xdr:colOff>0</xdr:colOff>
      <xdr:row>18</xdr:row>
      <xdr:rowOff>82550</xdr:rowOff>
    </xdr:to>
    <xdr:cxnSp macro="">
      <xdr:nvCxnSpPr>
        <xdr:cNvPr id="1002" name="OpenSolver436"/>
        <xdr:cNvCxnSpPr>
          <a:stCxn id="1000" idx="3"/>
          <a:endCxn id="1001" idx="1"/>
        </xdr:cNvCxnSpPr>
      </xdr:nvCxnSpPr>
      <xdr:spPr>
        <a:xfrm>
          <a:off x="8883650" y="29273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311150</xdr:colOff>
      <xdr:row>17</xdr:row>
      <xdr:rowOff>38100</xdr:rowOff>
    </xdr:from>
    <xdr:to>
      <xdr:col>17</xdr:col>
      <xdr:colOff>190500</xdr:colOff>
      <xdr:row>18</xdr:row>
      <xdr:rowOff>127000</xdr:rowOff>
    </xdr:to>
    <xdr:sp macro="" textlink="">
      <xdr:nvSpPr>
        <xdr:cNvPr id="1003" name="OpenSolver437"/>
        <xdr:cNvSpPr/>
      </xdr:nvSpPr>
      <xdr:spPr>
        <a:xfrm>
          <a:off x="8693150" y="2882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" textlink="">
      <xdr:nvSpPr>
        <xdr:cNvPr id="1004" name="OpenSolver438"/>
        <xdr:cNvSpPr/>
      </xdr:nvSpPr>
      <xdr:spPr>
        <a:xfrm>
          <a:off x="236220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" textlink="">
      <xdr:nvSpPr>
        <xdr:cNvPr id="1005" name="OpenSolver439"/>
        <xdr:cNvSpPr/>
      </xdr:nvSpPr>
      <xdr:spPr>
        <a:xfrm>
          <a:off x="286385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5</xdr:col>
      <xdr:colOff>0</xdr:colOff>
      <xdr:row>22</xdr:row>
      <xdr:rowOff>82550</xdr:rowOff>
    </xdr:from>
    <xdr:to>
      <xdr:col>5</xdr:col>
      <xdr:colOff>0</xdr:colOff>
      <xdr:row>23</xdr:row>
      <xdr:rowOff>82550</xdr:rowOff>
    </xdr:to>
    <xdr:cxnSp macro="">
      <xdr:nvCxnSpPr>
        <xdr:cNvPr id="1006" name="OpenSolver440"/>
        <xdr:cNvCxnSpPr>
          <a:stCxn id="1004" idx="3"/>
          <a:endCxn id="1005" idx="1"/>
        </xdr:cNvCxnSpPr>
      </xdr:nvCxnSpPr>
      <xdr:spPr>
        <a:xfrm>
          <a:off x="2863850" y="37528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311150</xdr:colOff>
      <xdr:row>22</xdr:row>
      <xdr:rowOff>38100</xdr:rowOff>
    </xdr:from>
    <xdr:to>
      <xdr:col>5</xdr:col>
      <xdr:colOff>190500</xdr:colOff>
      <xdr:row>23</xdr:row>
      <xdr:rowOff>127000</xdr:rowOff>
    </xdr:to>
    <xdr:sp macro="" textlink="">
      <xdr:nvSpPr>
        <xdr:cNvPr id="1007" name="OpenSolver441"/>
        <xdr:cNvSpPr/>
      </xdr:nvSpPr>
      <xdr:spPr>
        <a:xfrm>
          <a:off x="267335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6</xdr:col>
      <xdr:colOff>0</xdr:colOff>
      <xdr:row>23</xdr:row>
      <xdr:rowOff>0</xdr:rowOff>
    </xdr:to>
    <xdr:sp macro="" textlink="">
      <xdr:nvSpPr>
        <xdr:cNvPr id="1008" name="OpenSolver442"/>
        <xdr:cNvSpPr/>
      </xdr:nvSpPr>
      <xdr:spPr>
        <a:xfrm>
          <a:off x="286385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0</xdr:colOff>
      <xdr:row>24</xdr:row>
      <xdr:rowOff>0</xdr:rowOff>
    </xdr:to>
    <xdr:sp macro="" textlink="">
      <xdr:nvSpPr>
        <xdr:cNvPr id="1009" name="OpenSolver443"/>
        <xdr:cNvSpPr/>
      </xdr:nvSpPr>
      <xdr:spPr>
        <a:xfrm>
          <a:off x="336550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22</xdr:row>
      <xdr:rowOff>82550</xdr:rowOff>
    </xdr:from>
    <xdr:to>
      <xdr:col>6</xdr:col>
      <xdr:colOff>0</xdr:colOff>
      <xdr:row>23</xdr:row>
      <xdr:rowOff>82550</xdr:rowOff>
    </xdr:to>
    <xdr:cxnSp macro="">
      <xdr:nvCxnSpPr>
        <xdr:cNvPr id="1010" name="OpenSolver444"/>
        <xdr:cNvCxnSpPr>
          <a:stCxn id="1008" idx="3"/>
          <a:endCxn id="1009" idx="1"/>
        </xdr:cNvCxnSpPr>
      </xdr:nvCxnSpPr>
      <xdr:spPr>
        <a:xfrm>
          <a:off x="3365500" y="37528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311150</xdr:colOff>
      <xdr:row>22</xdr:row>
      <xdr:rowOff>38100</xdr:rowOff>
    </xdr:from>
    <xdr:to>
      <xdr:col>6</xdr:col>
      <xdr:colOff>190500</xdr:colOff>
      <xdr:row>23</xdr:row>
      <xdr:rowOff>127000</xdr:rowOff>
    </xdr:to>
    <xdr:sp macro="" textlink="">
      <xdr:nvSpPr>
        <xdr:cNvPr id="1011" name="OpenSolver445"/>
        <xdr:cNvSpPr/>
      </xdr:nvSpPr>
      <xdr:spPr>
        <a:xfrm>
          <a:off x="317500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" textlink="">
      <xdr:nvSpPr>
        <xdr:cNvPr id="1012" name="OpenSolver446"/>
        <xdr:cNvSpPr/>
      </xdr:nvSpPr>
      <xdr:spPr>
        <a:xfrm>
          <a:off x="336550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1013" name="OpenSolver447"/>
        <xdr:cNvSpPr/>
      </xdr:nvSpPr>
      <xdr:spPr>
        <a:xfrm>
          <a:off x="386715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22</xdr:row>
      <xdr:rowOff>82550</xdr:rowOff>
    </xdr:from>
    <xdr:to>
      <xdr:col>7</xdr:col>
      <xdr:colOff>0</xdr:colOff>
      <xdr:row>23</xdr:row>
      <xdr:rowOff>82550</xdr:rowOff>
    </xdr:to>
    <xdr:cxnSp macro="">
      <xdr:nvCxnSpPr>
        <xdr:cNvPr id="1014" name="OpenSolver448"/>
        <xdr:cNvCxnSpPr>
          <a:stCxn id="1012" idx="3"/>
          <a:endCxn id="1013" idx="1"/>
        </xdr:cNvCxnSpPr>
      </xdr:nvCxnSpPr>
      <xdr:spPr>
        <a:xfrm>
          <a:off x="3867150" y="37528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22</xdr:row>
      <xdr:rowOff>38100</xdr:rowOff>
    </xdr:from>
    <xdr:to>
      <xdr:col>7</xdr:col>
      <xdr:colOff>190500</xdr:colOff>
      <xdr:row>23</xdr:row>
      <xdr:rowOff>127000</xdr:rowOff>
    </xdr:to>
    <xdr:sp macro="" textlink="">
      <xdr:nvSpPr>
        <xdr:cNvPr id="1015" name="OpenSolver449"/>
        <xdr:cNvSpPr/>
      </xdr:nvSpPr>
      <xdr:spPr>
        <a:xfrm>
          <a:off x="367665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1016" name="OpenSolver450"/>
        <xdr:cNvSpPr/>
      </xdr:nvSpPr>
      <xdr:spPr>
        <a:xfrm>
          <a:off x="386715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sp macro="" textlink="">
      <xdr:nvSpPr>
        <xdr:cNvPr id="1017" name="OpenSolver451"/>
        <xdr:cNvSpPr/>
      </xdr:nvSpPr>
      <xdr:spPr>
        <a:xfrm>
          <a:off x="436880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22</xdr:row>
      <xdr:rowOff>82550</xdr:rowOff>
    </xdr:from>
    <xdr:to>
      <xdr:col>8</xdr:col>
      <xdr:colOff>0</xdr:colOff>
      <xdr:row>23</xdr:row>
      <xdr:rowOff>82550</xdr:rowOff>
    </xdr:to>
    <xdr:cxnSp macro="">
      <xdr:nvCxnSpPr>
        <xdr:cNvPr id="1018" name="OpenSolver452"/>
        <xdr:cNvCxnSpPr>
          <a:stCxn id="1016" idx="3"/>
          <a:endCxn id="1017" idx="1"/>
        </xdr:cNvCxnSpPr>
      </xdr:nvCxnSpPr>
      <xdr:spPr>
        <a:xfrm>
          <a:off x="4368800" y="37528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311150</xdr:colOff>
      <xdr:row>22</xdr:row>
      <xdr:rowOff>38100</xdr:rowOff>
    </xdr:from>
    <xdr:to>
      <xdr:col>8</xdr:col>
      <xdr:colOff>190500</xdr:colOff>
      <xdr:row>23</xdr:row>
      <xdr:rowOff>127000</xdr:rowOff>
    </xdr:to>
    <xdr:sp macro="" textlink="">
      <xdr:nvSpPr>
        <xdr:cNvPr id="1019" name="OpenSolver453"/>
        <xdr:cNvSpPr/>
      </xdr:nvSpPr>
      <xdr:spPr>
        <a:xfrm>
          <a:off x="417830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sp macro="" textlink="">
      <xdr:nvSpPr>
        <xdr:cNvPr id="1020" name="OpenSolver454"/>
        <xdr:cNvSpPr/>
      </xdr:nvSpPr>
      <xdr:spPr>
        <a:xfrm>
          <a:off x="436880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1021" name="OpenSolver455"/>
        <xdr:cNvSpPr/>
      </xdr:nvSpPr>
      <xdr:spPr>
        <a:xfrm>
          <a:off x="487045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22</xdr:row>
      <xdr:rowOff>82550</xdr:rowOff>
    </xdr:from>
    <xdr:to>
      <xdr:col>9</xdr:col>
      <xdr:colOff>0</xdr:colOff>
      <xdr:row>23</xdr:row>
      <xdr:rowOff>82550</xdr:rowOff>
    </xdr:to>
    <xdr:cxnSp macro="">
      <xdr:nvCxnSpPr>
        <xdr:cNvPr id="1022" name="OpenSolver456"/>
        <xdr:cNvCxnSpPr>
          <a:stCxn id="1020" idx="3"/>
          <a:endCxn id="1021" idx="1"/>
        </xdr:cNvCxnSpPr>
      </xdr:nvCxnSpPr>
      <xdr:spPr>
        <a:xfrm>
          <a:off x="4870450" y="37528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311150</xdr:colOff>
      <xdr:row>22</xdr:row>
      <xdr:rowOff>38100</xdr:rowOff>
    </xdr:from>
    <xdr:to>
      <xdr:col>9</xdr:col>
      <xdr:colOff>190500</xdr:colOff>
      <xdr:row>23</xdr:row>
      <xdr:rowOff>127000</xdr:rowOff>
    </xdr:to>
    <xdr:sp macro="" textlink="">
      <xdr:nvSpPr>
        <xdr:cNvPr id="1023" name="OpenSolver457"/>
        <xdr:cNvSpPr/>
      </xdr:nvSpPr>
      <xdr:spPr>
        <a:xfrm>
          <a:off x="467995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1024" name="OpenSolver458"/>
        <xdr:cNvSpPr/>
      </xdr:nvSpPr>
      <xdr:spPr>
        <a:xfrm>
          <a:off x="487045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</xdr:col>
      <xdr:colOff>0</xdr:colOff>
      <xdr:row>23</xdr:row>
      <xdr:rowOff>0</xdr:rowOff>
    </xdr:from>
    <xdr:to>
      <xdr:col>11</xdr:col>
      <xdr:colOff>0</xdr:colOff>
      <xdr:row>24</xdr:row>
      <xdr:rowOff>0</xdr:rowOff>
    </xdr:to>
    <xdr:sp macro="" textlink="">
      <xdr:nvSpPr>
        <xdr:cNvPr id="1025" name="OpenSolver459"/>
        <xdr:cNvSpPr/>
      </xdr:nvSpPr>
      <xdr:spPr>
        <a:xfrm>
          <a:off x="537210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22</xdr:row>
      <xdr:rowOff>82550</xdr:rowOff>
    </xdr:from>
    <xdr:to>
      <xdr:col>10</xdr:col>
      <xdr:colOff>0</xdr:colOff>
      <xdr:row>23</xdr:row>
      <xdr:rowOff>82550</xdr:rowOff>
    </xdr:to>
    <xdr:cxnSp macro="">
      <xdr:nvCxnSpPr>
        <xdr:cNvPr id="1026" name="OpenSolver460"/>
        <xdr:cNvCxnSpPr>
          <a:stCxn id="1024" idx="3"/>
          <a:endCxn id="1025" idx="1"/>
        </xdr:cNvCxnSpPr>
      </xdr:nvCxnSpPr>
      <xdr:spPr>
        <a:xfrm>
          <a:off x="5372100" y="37528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311150</xdr:colOff>
      <xdr:row>22</xdr:row>
      <xdr:rowOff>38100</xdr:rowOff>
    </xdr:from>
    <xdr:to>
      <xdr:col>10</xdr:col>
      <xdr:colOff>190500</xdr:colOff>
      <xdr:row>23</xdr:row>
      <xdr:rowOff>127000</xdr:rowOff>
    </xdr:to>
    <xdr:sp macro="" textlink="">
      <xdr:nvSpPr>
        <xdr:cNvPr id="1027" name="OpenSolver461"/>
        <xdr:cNvSpPr/>
      </xdr:nvSpPr>
      <xdr:spPr>
        <a:xfrm>
          <a:off x="518160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22</xdr:row>
      <xdr:rowOff>0</xdr:rowOff>
    </xdr:from>
    <xdr:to>
      <xdr:col>11</xdr:col>
      <xdr:colOff>0</xdr:colOff>
      <xdr:row>23</xdr:row>
      <xdr:rowOff>0</xdr:rowOff>
    </xdr:to>
    <xdr:sp macro="" textlink="">
      <xdr:nvSpPr>
        <xdr:cNvPr id="1028" name="OpenSolver462"/>
        <xdr:cNvSpPr/>
      </xdr:nvSpPr>
      <xdr:spPr>
        <a:xfrm>
          <a:off x="537210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</xdr:col>
      <xdr:colOff>0</xdr:colOff>
      <xdr:row>23</xdr:row>
      <xdr:rowOff>0</xdr:rowOff>
    </xdr:from>
    <xdr:to>
      <xdr:col>12</xdr:col>
      <xdr:colOff>0</xdr:colOff>
      <xdr:row>24</xdr:row>
      <xdr:rowOff>0</xdr:rowOff>
    </xdr:to>
    <xdr:sp macro="" textlink="">
      <xdr:nvSpPr>
        <xdr:cNvPr id="1029" name="OpenSolver463"/>
        <xdr:cNvSpPr/>
      </xdr:nvSpPr>
      <xdr:spPr>
        <a:xfrm>
          <a:off x="587375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22</xdr:row>
      <xdr:rowOff>82550</xdr:rowOff>
    </xdr:from>
    <xdr:to>
      <xdr:col>11</xdr:col>
      <xdr:colOff>0</xdr:colOff>
      <xdr:row>23</xdr:row>
      <xdr:rowOff>82550</xdr:rowOff>
    </xdr:to>
    <xdr:cxnSp macro="">
      <xdr:nvCxnSpPr>
        <xdr:cNvPr id="1030" name="OpenSolver464"/>
        <xdr:cNvCxnSpPr>
          <a:stCxn id="1028" idx="3"/>
          <a:endCxn id="1029" idx="1"/>
        </xdr:cNvCxnSpPr>
      </xdr:nvCxnSpPr>
      <xdr:spPr>
        <a:xfrm>
          <a:off x="5873750" y="37528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311150</xdr:colOff>
      <xdr:row>22</xdr:row>
      <xdr:rowOff>38100</xdr:rowOff>
    </xdr:from>
    <xdr:to>
      <xdr:col>11</xdr:col>
      <xdr:colOff>190500</xdr:colOff>
      <xdr:row>23</xdr:row>
      <xdr:rowOff>127000</xdr:rowOff>
    </xdr:to>
    <xdr:sp macro="" textlink="">
      <xdr:nvSpPr>
        <xdr:cNvPr id="1031" name="OpenSolver465"/>
        <xdr:cNvSpPr/>
      </xdr:nvSpPr>
      <xdr:spPr>
        <a:xfrm>
          <a:off x="568325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12</xdr:col>
      <xdr:colOff>0</xdr:colOff>
      <xdr:row>23</xdr:row>
      <xdr:rowOff>0</xdr:rowOff>
    </xdr:to>
    <xdr:sp macro="" textlink="">
      <xdr:nvSpPr>
        <xdr:cNvPr id="1032" name="OpenSolver466"/>
        <xdr:cNvSpPr/>
      </xdr:nvSpPr>
      <xdr:spPr>
        <a:xfrm>
          <a:off x="587375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1033" name="OpenSolver467"/>
        <xdr:cNvSpPr/>
      </xdr:nvSpPr>
      <xdr:spPr>
        <a:xfrm>
          <a:off x="637540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22</xdr:row>
      <xdr:rowOff>82550</xdr:rowOff>
    </xdr:from>
    <xdr:to>
      <xdr:col>12</xdr:col>
      <xdr:colOff>0</xdr:colOff>
      <xdr:row>23</xdr:row>
      <xdr:rowOff>82550</xdr:rowOff>
    </xdr:to>
    <xdr:cxnSp macro="">
      <xdr:nvCxnSpPr>
        <xdr:cNvPr id="1034" name="OpenSolver468"/>
        <xdr:cNvCxnSpPr>
          <a:stCxn id="1032" idx="3"/>
          <a:endCxn id="1033" idx="1"/>
        </xdr:cNvCxnSpPr>
      </xdr:nvCxnSpPr>
      <xdr:spPr>
        <a:xfrm>
          <a:off x="6375400" y="37528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311150</xdr:colOff>
      <xdr:row>22</xdr:row>
      <xdr:rowOff>38100</xdr:rowOff>
    </xdr:from>
    <xdr:to>
      <xdr:col>12</xdr:col>
      <xdr:colOff>190500</xdr:colOff>
      <xdr:row>23</xdr:row>
      <xdr:rowOff>127000</xdr:rowOff>
    </xdr:to>
    <xdr:sp macro="" textlink="">
      <xdr:nvSpPr>
        <xdr:cNvPr id="1035" name="OpenSolver469"/>
        <xdr:cNvSpPr/>
      </xdr:nvSpPr>
      <xdr:spPr>
        <a:xfrm>
          <a:off x="618490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22</xdr:row>
      <xdr:rowOff>0</xdr:rowOff>
    </xdr:from>
    <xdr:to>
      <xdr:col>13</xdr:col>
      <xdr:colOff>0</xdr:colOff>
      <xdr:row>23</xdr:row>
      <xdr:rowOff>0</xdr:rowOff>
    </xdr:to>
    <xdr:sp macro="" textlink="">
      <xdr:nvSpPr>
        <xdr:cNvPr id="1036" name="OpenSolver470"/>
        <xdr:cNvSpPr/>
      </xdr:nvSpPr>
      <xdr:spPr>
        <a:xfrm>
          <a:off x="637540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1037" name="OpenSolver471"/>
        <xdr:cNvSpPr/>
      </xdr:nvSpPr>
      <xdr:spPr>
        <a:xfrm>
          <a:off x="687705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22</xdr:row>
      <xdr:rowOff>82550</xdr:rowOff>
    </xdr:from>
    <xdr:to>
      <xdr:col>13</xdr:col>
      <xdr:colOff>0</xdr:colOff>
      <xdr:row>23</xdr:row>
      <xdr:rowOff>82550</xdr:rowOff>
    </xdr:to>
    <xdr:cxnSp macro="">
      <xdr:nvCxnSpPr>
        <xdr:cNvPr id="1038" name="OpenSolver472"/>
        <xdr:cNvCxnSpPr>
          <a:stCxn id="1036" idx="3"/>
          <a:endCxn id="1037" idx="1"/>
        </xdr:cNvCxnSpPr>
      </xdr:nvCxnSpPr>
      <xdr:spPr>
        <a:xfrm>
          <a:off x="6877050" y="37528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311150</xdr:colOff>
      <xdr:row>22</xdr:row>
      <xdr:rowOff>38100</xdr:rowOff>
    </xdr:from>
    <xdr:to>
      <xdr:col>13</xdr:col>
      <xdr:colOff>190500</xdr:colOff>
      <xdr:row>23</xdr:row>
      <xdr:rowOff>127000</xdr:rowOff>
    </xdr:to>
    <xdr:sp macro="" textlink="">
      <xdr:nvSpPr>
        <xdr:cNvPr id="1039" name="OpenSolver473"/>
        <xdr:cNvSpPr/>
      </xdr:nvSpPr>
      <xdr:spPr>
        <a:xfrm>
          <a:off x="668655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23</xdr:row>
      <xdr:rowOff>0</xdr:rowOff>
    </xdr:to>
    <xdr:sp macro="" textlink="">
      <xdr:nvSpPr>
        <xdr:cNvPr id="1040" name="OpenSolver474"/>
        <xdr:cNvSpPr/>
      </xdr:nvSpPr>
      <xdr:spPr>
        <a:xfrm>
          <a:off x="687705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14</xdr:col>
      <xdr:colOff>0</xdr:colOff>
      <xdr:row>23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1041" name="OpenSolver475"/>
        <xdr:cNvSpPr/>
      </xdr:nvSpPr>
      <xdr:spPr>
        <a:xfrm>
          <a:off x="737870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14</xdr:col>
      <xdr:colOff>0</xdr:colOff>
      <xdr:row>22</xdr:row>
      <xdr:rowOff>82550</xdr:rowOff>
    </xdr:from>
    <xdr:to>
      <xdr:col>14</xdr:col>
      <xdr:colOff>0</xdr:colOff>
      <xdr:row>23</xdr:row>
      <xdr:rowOff>82550</xdr:rowOff>
    </xdr:to>
    <xdr:cxnSp macro="">
      <xdr:nvCxnSpPr>
        <xdr:cNvPr id="1042" name="OpenSolver476"/>
        <xdr:cNvCxnSpPr>
          <a:stCxn id="1040" idx="3"/>
          <a:endCxn id="1041" idx="1"/>
        </xdr:cNvCxnSpPr>
      </xdr:nvCxnSpPr>
      <xdr:spPr>
        <a:xfrm>
          <a:off x="7378700" y="37528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311150</xdr:colOff>
      <xdr:row>22</xdr:row>
      <xdr:rowOff>38100</xdr:rowOff>
    </xdr:from>
    <xdr:to>
      <xdr:col>14</xdr:col>
      <xdr:colOff>190500</xdr:colOff>
      <xdr:row>23</xdr:row>
      <xdr:rowOff>127000</xdr:rowOff>
    </xdr:to>
    <xdr:sp macro="" textlink="">
      <xdr:nvSpPr>
        <xdr:cNvPr id="1043" name="OpenSolver477"/>
        <xdr:cNvSpPr/>
      </xdr:nvSpPr>
      <xdr:spPr>
        <a:xfrm>
          <a:off x="718820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22</xdr:row>
      <xdr:rowOff>0</xdr:rowOff>
    </xdr:from>
    <xdr:to>
      <xdr:col>15</xdr:col>
      <xdr:colOff>0</xdr:colOff>
      <xdr:row>23</xdr:row>
      <xdr:rowOff>0</xdr:rowOff>
    </xdr:to>
    <xdr:sp macro="" textlink="">
      <xdr:nvSpPr>
        <xdr:cNvPr id="1044" name="OpenSolver478"/>
        <xdr:cNvSpPr/>
      </xdr:nvSpPr>
      <xdr:spPr>
        <a:xfrm>
          <a:off x="737870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15</xdr:col>
      <xdr:colOff>0</xdr:colOff>
      <xdr:row>23</xdr:row>
      <xdr:rowOff>0</xdr:rowOff>
    </xdr:from>
    <xdr:to>
      <xdr:col>16</xdr:col>
      <xdr:colOff>0</xdr:colOff>
      <xdr:row>24</xdr:row>
      <xdr:rowOff>0</xdr:rowOff>
    </xdr:to>
    <xdr:sp macro="" textlink="">
      <xdr:nvSpPr>
        <xdr:cNvPr id="1045" name="OpenSolver479"/>
        <xdr:cNvSpPr/>
      </xdr:nvSpPr>
      <xdr:spPr>
        <a:xfrm>
          <a:off x="788035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15</xdr:col>
      <xdr:colOff>0</xdr:colOff>
      <xdr:row>22</xdr:row>
      <xdr:rowOff>82550</xdr:rowOff>
    </xdr:from>
    <xdr:to>
      <xdr:col>15</xdr:col>
      <xdr:colOff>0</xdr:colOff>
      <xdr:row>23</xdr:row>
      <xdr:rowOff>82550</xdr:rowOff>
    </xdr:to>
    <xdr:cxnSp macro="">
      <xdr:nvCxnSpPr>
        <xdr:cNvPr id="1046" name="OpenSolver480"/>
        <xdr:cNvCxnSpPr>
          <a:stCxn id="1044" idx="3"/>
          <a:endCxn id="1045" idx="1"/>
        </xdr:cNvCxnSpPr>
      </xdr:nvCxnSpPr>
      <xdr:spPr>
        <a:xfrm>
          <a:off x="7880350" y="37528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311150</xdr:colOff>
      <xdr:row>22</xdr:row>
      <xdr:rowOff>38100</xdr:rowOff>
    </xdr:from>
    <xdr:to>
      <xdr:col>15</xdr:col>
      <xdr:colOff>190500</xdr:colOff>
      <xdr:row>23</xdr:row>
      <xdr:rowOff>127000</xdr:rowOff>
    </xdr:to>
    <xdr:sp macro="" textlink="">
      <xdr:nvSpPr>
        <xdr:cNvPr id="1047" name="OpenSolver481"/>
        <xdr:cNvSpPr/>
      </xdr:nvSpPr>
      <xdr:spPr>
        <a:xfrm>
          <a:off x="768985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16</xdr:col>
      <xdr:colOff>0</xdr:colOff>
      <xdr:row>23</xdr:row>
      <xdr:rowOff>0</xdr:rowOff>
    </xdr:to>
    <xdr:sp macro="" textlink="">
      <xdr:nvSpPr>
        <xdr:cNvPr id="1048" name="OpenSolver482"/>
        <xdr:cNvSpPr/>
      </xdr:nvSpPr>
      <xdr:spPr>
        <a:xfrm>
          <a:off x="788035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23</xdr:row>
      <xdr:rowOff>0</xdr:rowOff>
    </xdr:from>
    <xdr:to>
      <xdr:col>17</xdr:col>
      <xdr:colOff>0</xdr:colOff>
      <xdr:row>24</xdr:row>
      <xdr:rowOff>0</xdr:rowOff>
    </xdr:to>
    <xdr:sp macro="" textlink="">
      <xdr:nvSpPr>
        <xdr:cNvPr id="1049" name="OpenSolver483"/>
        <xdr:cNvSpPr/>
      </xdr:nvSpPr>
      <xdr:spPr>
        <a:xfrm>
          <a:off x="838200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22</xdr:row>
      <xdr:rowOff>82550</xdr:rowOff>
    </xdr:from>
    <xdr:to>
      <xdr:col>16</xdr:col>
      <xdr:colOff>0</xdr:colOff>
      <xdr:row>23</xdr:row>
      <xdr:rowOff>82550</xdr:rowOff>
    </xdr:to>
    <xdr:cxnSp macro="">
      <xdr:nvCxnSpPr>
        <xdr:cNvPr id="1050" name="OpenSolver484"/>
        <xdr:cNvCxnSpPr>
          <a:stCxn id="1048" idx="3"/>
          <a:endCxn id="1049" idx="1"/>
        </xdr:cNvCxnSpPr>
      </xdr:nvCxnSpPr>
      <xdr:spPr>
        <a:xfrm>
          <a:off x="8382000" y="37528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311150</xdr:colOff>
      <xdr:row>22</xdr:row>
      <xdr:rowOff>38100</xdr:rowOff>
    </xdr:from>
    <xdr:to>
      <xdr:col>16</xdr:col>
      <xdr:colOff>190500</xdr:colOff>
      <xdr:row>23</xdr:row>
      <xdr:rowOff>127000</xdr:rowOff>
    </xdr:to>
    <xdr:sp macro="" textlink="">
      <xdr:nvSpPr>
        <xdr:cNvPr id="1051" name="OpenSolver485"/>
        <xdr:cNvSpPr/>
      </xdr:nvSpPr>
      <xdr:spPr>
        <a:xfrm>
          <a:off x="819150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22</xdr:row>
      <xdr:rowOff>0</xdr:rowOff>
    </xdr:from>
    <xdr:to>
      <xdr:col>17</xdr:col>
      <xdr:colOff>0</xdr:colOff>
      <xdr:row>23</xdr:row>
      <xdr:rowOff>0</xdr:rowOff>
    </xdr:to>
    <xdr:sp macro="" textlink="">
      <xdr:nvSpPr>
        <xdr:cNvPr id="1052" name="OpenSolver486"/>
        <xdr:cNvSpPr/>
      </xdr:nvSpPr>
      <xdr:spPr>
        <a:xfrm>
          <a:off x="8382000" y="36703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1053" name="OpenSolver487"/>
        <xdr:cNvSpPr/>
      </xdr:nvSpPr>
      <xdr:spPr>
        <a:xfrm>
          <a:off x="8883650" y="38354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22</xdr:row>
      <xdr:rowOff>82550</xdr:rowOff>
    </xdr:from>
    <xdr:to>
      <xdr:col>17</xdr:col>
      <xdr:colOff>0</xdr:colOff>
      <xdr:row>23</xdr:row>
      <xdr:rowOff>82550</xdr:rowOff>
    </xdr:to>
    <xdr:cxnSp macro="">
      <xdr:nvCxnSpPr>
        <xdr:cNvPr id="1054" name="OpenSolver488"/>
        <xdr:cNvCxnSpPr>
          <a:stCxn id="1052" idx="3"/>
          <a:endCxn id="1053" idx="1"/>
        </xdr:cNvCxnSpPr>
      </xdr:nvCxnSpPr>
      <xdr:spPr>
        <a:xfrm>
          <a:off x="8883650" y="37528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311150</xdr:colOff>
      <xdr:row>22</xdr:row>
      <xdr:rowOff>38100</xdr:rowOff>
    </xdr:from>
    <xdr:to>
      <xdr:col>17</xdr:col>
      <xdr:colOff>190500</xdr:colOff>
      <xdr:row>23</xdr:row>
      <xdr:rowOff>127000</xdr:rowOff>
    </xdr:to>
    <xdr:sp macro="" textlink="">
      <xdr:nvSpPr>
        <xdr:cNvPr id="1055" name="OpenSolver489"/>
        <xdr:cNvSpPr/>
      </xdr:nvSpPr>
      <xdr:spPr>
        <a:xfrm>
          <a:off x="8693150" y="3708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1056" name="OpenSolver490"/>
        <xdr:cNvSpPr/>
      </xdr:nvSpPr>
      <xdr:spPr>
        <a:xfrm>
          <a:off x="236220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</xdr:col>
      <xdr:colOff>0</xdr:colOff>
      <xdr:row>28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1057" name="OpenSolver491"/>
        <xdr:cNvSpPr/>
      </xdr:nvSpPr>
      <xdr:spPr>
        <a:xfrm>
          <a:off x="286385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5</xdr:col>
      <xdr:colOff>0</xdr:colOff>
      <xdr:row>27</xdr:row>
      <xdr:rowOff>82550</xdr:rowOff>
    </xdr:from>
    <xdr:to>
      <xdr:col>5</xdr:col>
      <xdr:colOff>0</xdr:colOff>
      <xdr:row>28</xdr:row>
      <xdr:rowOff>82550</xdr:rowOff>
    </xdr:to>
    <xdr:cxnSp macro="">
      <xdr:nvCxnSpPr>
        <xdr:cNvPr id="1058" name="OpenSolver492"/>
        <xdr:cNvCxnSpPr>
          <a:stCxn id="1056" idx="3"/>
          <a:endCxn id="1057" idx="1"/>
        </xdr:cNvCxnSpPr>
      </xdr:nvCxnSpPr>
      <xdr:spPr>
        <a:xfrm>
          <a:off x="2863850" y="45783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311150</xdr:colOff>
      <xdr:row>27</xdr:row>
      <xdr:rowOff>38100</xdr:rowOff>
    </xdr:from>
    <xdr:to>
      <xdr:col>5</xdr:col>
      <xdr:colOff>190500</xdr:colOff>
      <xdr:row>28</xdr:row>
      <xdr:rowOff>127000</xdr:rowOff>
    </xdr:to>
    <xdr:sp macro="" textlink="">
      <xdr:nvSpPr>
        <xdr:cNvPr id="1059" name="OpenSolver493"/>
        <xdr:cNvSpPr/>
      </xdr:nvSpPr>
      <xdr:spPr>
        <a:xfrm>
          <a:off x="267335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27</xdr:row>
      <xdr:rowOff>0</xdr:rowOff>
    </xdr:from>
    <xdr:to>
      <xdr:col>6</xdr:col>
      <xdr:colOff>0</xdr:colOff>
      <xdr:row>28</xdr:row>
      <xdr:rowOff>0</xdr:rowOff>
    </xdr:to>
    <xdr:sp macro="" textlink="">
      <xdr:nvSpPr>
        <xdr:cNvPr id="1060" name="OpenSolver494"/>
        <xdr:cNvSpPr/>
      </xdr:nvSpPr>
      <xdr:spPr>
        <a:xfrm>
          <a:off x="286385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28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1061" name="OpenSolver495"/>
        <xdr:cNvSpPr/>
      </xdr:nvSpPr>
      <xdr:spPr>
        <a:xfrm>
          <a:off x="336550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27</xdr:row>
      <xdr:rowOff>82550</xdr:rowOff>
    </xdr:from>
    <xdr:to>
      <xdr:col>6</xdr:col>
      <xdr:colOff>0</xdr:colOff>
      <xdr:row>28</xdr:row>
      <xdr:rowOff>82550</xdr:rowOff>
    </xdr:to>
    <xdr:cxnSp macro="">
      <xdr:nvCxnSpPr>
        <xdr:cNvPr id="1062" name="OpenSolver496"/>
        <xdr:cNvCxnSpPr>
          <a:stCxn id="1060" idx="3"/>
          <a:endCxn id="1061" idx="1"/>
        </xdr:cNvCxnSpPr>
      </xdr:nvCxnSpPr>
      <xdr:spPr>
        <a:xfrm>
          <a:off x="3365500" y="45783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311150</xdr:colOff>
      <xdr:row>27</xdr:row>
      <xdr:rowOff>38100</xdr:rowOff>
    </xdr:from>
    <xdr:to>
      <xdr:col>6</xdr:col>
      <xdr:colOff>190500</xdr:colOff>
      <xdr:row>28</xdr:row>
      <xdr:rowOff>127000</xdr:rowOff>
    </xdr:to>
    <xdr:sp macro="" textlink="">
      <xdr:nvSpPr>
        <xdr:cNvPr id="1063" name="OpenSolver497"/>
        <xdr:cNvSpPr/>
      </xdr:nvSpPr>
      <xdr:spPr>
        <a:xfrm>
          <a:off x="317500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27</xdr:row>
      <xdr:rowOff>0</xdr:rowOff>
    </xdr:from>
    <xdr:to>
      <xdr:col>7</xdr:col>
      <xdr:colOff>0</xdr:colOff>
      <xdr:row>28</xdr:row>
      <xdr:rowOff>0</xdr:rowOff>
    </xdr:to>
    <xdr:sp macro="" textlink="">
      <xdr:nvSpPr>
        <xdr:cNvPr id="1064" name="OpenSolver498"/>
        <xdr:cNvSpPr/>
      </xdr:nvSpPr>
      <xdr:spPr>
        <a:xfrm>
          <a:off x="336550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1065" name="OpenSolver499"/>
        <xdr:cNvSpPr/>
      </xdr:nvSpPr>
      <xdr:spPr>
        <a:xfrm>
          <a:off x="386715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27</xdr:row>
      <xdr:rowOff>82550</xdr:rowOff>
    </xdr:from>
    <xdr:to>
      <xdr:col>7</xdr:col>
      <xdr:colOff>0</xdr:colOff>
      <xdr:row>28</xdr:row>
      <xdr:rowOff>82550</xdr:rowOff>
    </xdr:to>
    <xdr:cxnSp macro="">
      <xdr:nvCxnSpPr>
        <xdr:cNvPr id="1066" name="OpenSolver500"/>
        <xdr:cNvCxnSpPr>
          <a:stCxn id="1064" idx="3"/>
          <a:endCxn id="1065" idx="1"/>
        </xdr:cNvCxnSpPr>
      </xdr:nvCxnSpPr>
      <xdr:spPr>
        <a:xfrm>
          <a:off x="3867150" y="45783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27</xdr:row>
      <xdr:rowOff>38100</xdr:rowOff>
    </xdr:from>
    <xdr:to>
      <xdr:col>7</xdr:col>
      <xdr:colOff>190500</xdr:colOff>
      <xdr:row>28</xdr:row>
      <xdr:rowOff>127000</xdr:rowOff>
    </xdr:to>
    <xdr:sp macro="" textlink="">
      <xdr:nvSpPr>
        <xdr:cNvPr id="1067" name="OpenSolver501"/>
        <xdr:cNvSpPr/>
      </xdr:nvSpPr>
      <xdr:spPr>
        <a:xfrm>
          <a:off x="367665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1068" name="OpenSolver502"/>
        <xdr:cNvSpPr/>
      </xdr:nvSpPr>
      <xdr:spPr>
        <a:xfrm>
          <a:off x="386715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1069" name="OpenSolver503"/>
        <xdr:cNvSpPr/>
      </xdr:nvSpPr>
      <xdr:spPr>
        <a:xfrm>
          <a:off x="436880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27</xdr:row>
      <xdr:rowOff>82550</xdr:rowOff>
    </xdr:from>
    <xdr:to>
      <xdr:col>8</xdr:col>
      <xdr:colOff>0</xdr:colOff>
      <xdr:row>28</xdr:row>
      <xdr:rowOff>82550</xdr:rowOff>
    </xdr:to>
    <xdr:cxnSp macro="">
      <xdr:nvCxnSpPr>
        <xdr:cNvPr id="1070" name="OpenSolver504"/>
        <xdr:cNvCxnSpPr>
          <a:stCxn id="1068" idx="3"/>
          <a:endCxn id="1069" idx="1"/>
        </xdr:cNvCxnSpPr>
      </xdr:nvCxnSpPr>
      <xdr:spPr>
        <a:xfrm>
          <a:off x="4368800" y="45783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311150</xdr:colOff>
      <xdr:row>27</xdr:row>
      <xdr:rowOff>38100</xdr:rowOff>
    </xdr:from>
    <xdr:to>
      <xdr:col>8</xdr:col>
      <xdr:colOff>190500</xdr:colOff>
      <xdr:row>28</xdr:row>
      <xdr:rowOff>127000</xdr:rowOff>
    </xdr:to>
    <xdr:sp macro="" textlink="">
      <xdr:nvSpPr>
        <xdr:cNvPr id="1071" name="OpenSolver505"/>
        <xdr:cNvSpPr/>
      </xdr:nvSpPr>
      <xdr:spPr>
        <a:xfrm>
          <a:off x="417830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1072" name="OpenSolver506"/>
        <xdr:cNvSpPr/>
      </xdr:nvSpPr>
      <xdr:spPr>
        <a:xfrm>
          <a:off x="436880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1073" name="OpenSolver507"/>
        <xdr:cNvSpPr/>
      </xdr:nvSpPr>
      <xdr:spPr>
        <a:xfrm>
          <a:off x="487045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27</xdr:row>
      <xdr:rowOff>82550</xdr:rowOff>
    </xdr:from>
    <xdr:to>
      <xdr:col>9</xdr:col>
      <xdr:colOff>0</xdr:colOff>
      <xdr:row>28</xdr:row>
      <xdr:rowOff>82550</xdr:rowOff>
    </xdr:to>
    <xdr:cxnSp macro="">
      <xdr:nvCxnSpPr>
        <xdr:cNvPr id="1074" name="OpenSolver508"/>
        <xdr:cNvCxnSpPr>
          <a:stCxn id="1072" idx="3"/>
          <a:endCxn id="1073" idx="1"/>
        </xdr:cNvCxnSpPr>
      </xdr:nvCxnSpPr>
      <xdr:spPr>
        <a:xfrm>
          <a:off x="4870450" y="45783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311150</xdr:colOff>
      <xdr:row>27</xdr:row>
      <xdr:rowOff>38100</xdr:rowOff>
    </xdr:from>
    <xdr:to>
      <xdr:col>9</xdr:col>
      <xdr:colOff>190500</xdr:colOff>
      <xdr:row>28</xdr:row>
      <xdr:rowOff>127000</xdr:rowOff>
    </xdr:to>
    <xdr:sp macro="" textlink="">
      <xdr:nvSpPr>
        <xdr:cNvPr id="1075" name="OpenSolver509"/>
        <xdr:cNvSpPr/>
      </xdr:nvSpPr>
      <xdr:spPr>
        <a:xfrm>
          <a:off x="467995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076" name="OpenSolver510"/>
        <xdr:cNvSpPr/>
      </xdr:nvSpPr>
      <xdr:spPr>
        <a:xfrm>
          <a:off x="487045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11</xdr:col>
      <xdr:colOff>0</xdr:colOff>
      <xdr:row>29</xdr:row>
      <xdr:rowOff>0</xdr:rowOff>
    </xdr:to>
    <xdr:sp macro="" textlink="">
      <xdr:nvSpPr>
        <xdr:cNvPr id="1077" name="OpenSolver511"/>
        <xdr:cNvSpPr/>
      </xdr:nvSpPr>
      <xdr:spPr>
        <a:xfrm>
          <a:off x="537210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27</xdr:row>
      <xdr:rowOff>82550</xdr:rowOff>
    </xdr:from>
    <xdr:to>
      <xdr:col>10</xdr:col>
      <xdr:colOff>0</xdr:colOff>
      <xdr:row>28</xdr:row>
      <xdr:rowOff>82550</xdr:rowOff>
    </xdr:to>
    <xdr:cxnSp macro="">
      <xdr:nvCxnSpPr>
        <xdr:cNvPr id="1078" name="OpenSolver512"/>
        <xdr:cNvCxnSpPr>
          <a:stCxn id="1076" idx="3"/>
          <a:endCxn id="1077" idx="1"/>
        </xdr:cNvCxnSpPr>
      </xdr:nvCxnSpPr>
      <xdr:spPr>
        <a:xfrm>
          <a:off x="5372100" y="45783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311150</xdr:colOff>
      <xdr:row>27</xdr:row>
      <xdr:rowOff>38100</xdr:rowOff>
    </xdr:from>
    <xdr:to>
      <xdr:col>10</xdr:col>
      <xdr:colOff>190500</xdr:colOff>
      <xdr:row>28</xdr:row>
      <xdr:rowOff>127000</xdr:rowOff>
    </xdr:to>
    <xdr:sp macro="" textlink="">
      <xdr:nvSpPr>
        <xdr:cNvPr id="1079" name="OpenSolver513"/>
        <xdr:cNvSpPr/>
      </xdr:nvSpPr>
      <xdr:spPr>
        <a:xfrm>
          <a:off x="518160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1080" name="OpenSolver514"/>
        <xdr:cNvSpPr/>
      </xdr:nvSpPr>
      <xdr:spPr>
        <a:xfrm>
          <a:off x="537210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</xdr:col>
      <xdr:colOff>0</xdr:colOff>
      <xdr:row>28</xdr:row>
      <xdr:rowOff>0</xdr:rowOff>
    </xdr:from>
    <xdr:to>
      <xdr:col>12</xdr:col>
      <xdr:colOff>0</xdr:colOff>
      <xdr:row>29</xdr:row>
      <xdr:rowOff>0</xdr:rowOff>
    </xdr:to>
    <xdr:sp macro="" textlink="">
      <xdr:nvSpPr>
        <xdr:cNvPr id="1081" name="OpenSolver515"/>
        <xdr:cNvSpPr/>
      </xdr:nvSpPr>
      <xdr:spPr>
        <a:xfrm>
          <a:off x="587375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27</xdr:row>
      <xdr:rowOff>82550</xdr:rowOff>
    </xdr:from>
    <xdr:to>
      <xdr:col>11</xdr:col>
      <xdr:colOff>0</xdr:colOff>
      <xdr:row>28</xdr:row>
      <xdr:rowOff>82550</xdr:rowOff>
    </xdr:to>
    <xdr:cxnSp macro="">
      <xdr:nvCxnSpPr>
        <xdr:cNvPr id="1082" name="OpenSolver516"/>
        <xdr:cNvCxnSpPr>
          <a:stCxn id="1080" idx="3"/>
          <a:endCxn id="1081" idx="1"/>
        </xdr:cNvCxnSpPr>
      </xdr:nvCxnSpPr>
      <xdr:spPr>
        <a:xfrm>
          <a:off x="5873750" y="4578350"/>
          <a:ext cx="0" cy="1651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311150</xdr:colOff>
      <xdr:row>27</xdr:row>
      <xdr:rowOff>38100</xdr:rowOff>
    </xdr:from>
    <xdr:to>
      <xdr:col>11</xdr:col>
      <xdr:colOff>190500</xdr:colOff>
      <xdr:row>28</xdr:row>
      <xdr:rowOff>127000</xdr:rowOff>
    </xdr:to>
    <xdr:sp macro="" textlink="">
      <xdr:nvSpPr>
        <xdr:cNvPr id="1083" name="OpenSolver517"/>
        <xdr:cNvSpPr/>
      </xdr:nvSpPr>
      <xdr:spPr>
        <a:xfrm>
          <a:off x="568325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0</xdr:colOff>
      <xdr:row>28</xdr:row>
      <xdr:rowOff>0</xdr:rowOff>
    </xdr:to>
    <xdr:sp macro="" textlink="">
      <xdr:nvSpPr>
        <xdr:cNvPr id="1084" name="OpenSolver518"/>
        <xdr:cNvSpPr/>
      </xdr:nvSpPr>
      <xdr:spPr>
        <a:xfrm>
          <a:off x="587375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13</xdr:col>
      <xdr:colOff>0</xdr:colOff>
      <xdr:row>29</xdr:row>
      <xdr:rowOff>0</xdr:rowOff>
    </xdr:to>
    <xdr:sp macro="" textlink="">
      <xdr:nvSpPr>
        <xdr:cNvPr id="1085" name="OpenSolver519"/>
        <xdr:cNvSpPr/>
      </xdr:nvSpPr>
      <xdr:spPr>
        <a:xfrm>
          <a:off x="637540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27</xdr:row>
      <xdr:rowOff>82550</xdr:rowOff>
    </xdr:from>
    <xdr:to>
      <xdr:col>12</xdr:col>
      <xdr:colOff>0</xdr:colOff>
      <xdr:row>28</xdr:row>
      <xdr:rowOff>82550</xdr:rowOff>
    </xdr:to>
    <xdr:cxnSp macro="">
      <xdr:nvCxnSpPr>
        <xdr:cNvPr id="1086" name="OpenSolver520"/>
        <xdr:cNvCxnSpPr>
          <a:stCxn id="1084" idx="3"/>
          <a:endCxn id="1085" idx="1"/>
        </xdr:cNvCxnSpPr>
      </xdr:nvCxnSpPr>
      <xdr:spPr>
        <a:xfrm>
          <a:off x="6375400" y="4578350"/>
          <a:ext cx="0" cy="1651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311150</xdr:colOff>
      <xdr:row>27</xdr:row>
      <xdr:rowOff>38100</xdr:rowOff>
    </xdr:from>
    <xdr:to>
      <xdr:col>12</xdr:col>
      <xdr:colOff>190500</xdr:colOff>
      <xdr:row>28</xdr:row>
      <xdr:rowOff>127000</xdr:rowOff>
    </xdr:to>
    <xdr:sp macro="" textlink="">
      <xdr:nvSpPr>
        <xdr:cNvPr id="1087" name="OpenSolver521"/>
        <xdr:cNvSpPr/>
      </xdr:nvSpPr>
      <xdr:spPr>
        <a:xfrm>
          <a:off x="618490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1088" name="OpenSolver522"/>
        <xdr:cNvSpPr/>
      </xdr:nvSpPr>
      <xdr:spPr>
        <a:xfrm>
          <a:off x="637540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29</xdr:row>
      <xdr:rowOff>0</xdr:rowOff>
    </xdr:to>
    <xdr:sp macro="" textlink="">
      <xdr:nvSpPr>
        <xdr:cNvPr id="1089" name="OpenSolver523"/>
        <xdr:cNvSpPr/>
      </xdr:nvSpPr>
      <xdr:spPr>
        <a:xfrm>
          <a:off x="687705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27</xdr:row>
      <xdr:rowOff>82550</xdr:rowOff>
    </xdr:from>
    <xdr:to>
      <xdr:col>13</xdr:col>
      <xdr:colOff>0</xdr:colOff>
      <xdr:row>28</xdr:row>
      <xdr:rowOff>82550</xdr:rowOff>
    </xdr:to>
    <xdr:cxnSp macro="">
      <xdr:nvCxnSpPr>
        <xdr:cNvPr id="1090" name="OpenSolver524"/>
        <xdr:cNvCxnSpPr>
          <a:stCxn id="1088" idx="3"/>
          <a:endCxn id="1089" idx="1"/>
        </xdr:cNvCxnSpPr>
      </xdr:nvCxnSpPr>
      <xdr:spPr>
        <a:xfrm>
          <a:off x="6877050" y="4578350"/>
          <a:ext cx="0" cy="1651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311150</xdr:colOff>
      <xdr:row>27</xdr:row>
      <xdr:rowOff>38100</xdr:rowOff>
    </xdr:from>
    <xdr:to>
      <xdr:col>13</xdr:col>
      <xdr:colOff>190500</xdr:colOff>
      <xdr:row>28</xdr:row>
      <xdr:rowOff>127000</xdr:rowOff>
    </xdr:to>
    <xdr:sp macro="" textlink="">
      <xdr:nvSpPr>
        <xdr:cNvPr id="1091" name="OpenSolver525"/>
        <xdr:cNvSpPr/>
      </xdr:nvSpPr>
      <xdr:spPr>
        <a:xfrm>
          <a:off x="668655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28</xdr:row>
      <xdr:rowOff>0</xdr:rowOff>
    </xdr:to>
    <xdr:sp macro="" textlink="">
      <xdr:nvSpPr>
        <xdr:cNvPr id="1092" name="OpenSolver526"/>
        <xdr:cNvSpPr/>
      </xdr:nvSpPr>
      <xdr:spPr>
        <a:xfrm>
          <a:off x="687705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14</xdr:col>
      <xdr:colOff>0</xdr:colOff>
      <xdr:row>28</xdr:row>
      <xdr:rowOff>0</xdr:rowOff>
    </xdr:from>
    <xdr:to>
      <xdr:col>15</xdr:col>
      <xdr:colOff>0</xdr:colOff>
      <xdr:row>29</xdr:row>
      <xdr:rowOff>0</xdr:rowOff>
    </xdr:to>
    <xdr:sp macro="" textlink="">
      <xdr:nvSpPr>
        <xdr:cNvPr id="1093" name="OpenSolver527"/>
        <xdr:cNvSpPr/>
      </xdr:nvSpPr>
      <xdr:spPr>
        <a:xfrm>
          <a:off x="737870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14</xdr:col>
      <xdr:colOff>0</xdr:colOff>
      <xdr:row>27</xdr:row>
      <xdr:rowOff>82550</xdr:rowOff>
    </xdr:from>
    <xdr:to>
      <xdr:col>14</xdr:col>
      <xdr:colOff>0</xdr:colOff>
      <xdr:row>28</xdr:row>
      <xdr:rowOff>82550</xdr:rowOff>
    </xdr:to>
    <xdr:cxnSp macro="">
      <xdr:nvCxnSpPr>
        <xdr:cNvPr id="1094" name="OpenSolver528"/>
        <xdr:cNvCxnSpPr>
          <a:stCxn id="1092" idx="3"/>
          <a:endCxn id="1093" idx="1"/>
        </xdr:cNvCxnSpPr>
      </xdr:nvCxnSpPr>
      <xdr:spPr>
        <a:xfrm>
          <a:off x="7378700" y="4578350"/>
          <a:ext cx="0" cy="1651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311150</xdr:colOff>
      <xdr:row>27</xdr:row>
      <xdr:rowOff>38100</xdr:rowOff>
    </xdr:from>
    <xdr:to>
      <xdr:col>14</xdr:col>
      <xdr:colOff>190500</xdr:colOff>
      <xdr:row>28</xdr:row>
      <xdr:rowOff>127000</xdr:rowOff>
    </xdr:to>
    <xdr:sp macro="" textlink="">
      <xdr:nvSpPr>
        <xdr:cNvPr id="1095" name="OpenSolver529"/>
        <xdr:cNvSpPr/>
      </xdr:nvSpPr>
      <xdr:spPr>
        <a:xfrm>
          <a:off x="718820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27</xdr:row>
      <xdr:rowOff>0</xdr:rowOff>
    </xdr:from>
    <xdr:to>
      <xdr:col>15</xdr:col>
      <xdr:colOff>0</xdr:colOff>
      <xdr:row>28</xdr:row>
      <xdr:rowOff>0</xdr:rowOff>
    </xdr:to>
    <xdr:sp macro="" textlink="">
      <xdr:nvSpPr>
        <xdr:cNvPr id="1096" name="OpenSolver530"/>
        <xdr:cNvSpPr/>
      </xdr:nvSpPr>
      <xdr:spPr>
        <a:xfrm>
          <a:off x="737870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16</xdr:col>
      <xdr:colOff>0</xdr:colOff>
      <xdr:row>29</xdr:row>
      <xdr:rowOff>0</xdr:rowOff>
    </xdr:to>
    <xdr:sp macro="" textlink="">
      <xdr:nvSpPr>
        <xdr:cNvPr id="1097" name="OpenSolver531"/>
        <xdr:cNvSpPr/>
      </xdr:nvSpPr>
      <xdr:spPr>
        <a:xfrm>
          <a:off x="788035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0</xdr:colOff>
      <xdr:row>27</xdr:row>
      <xdr:rowOff>82550</xdr:rowOff>
    </xdr:from>
    <xdr:to>
      <xdr:col>15</xdr:col>
      <xdr:colOff>0</xdr:colOff>
      <xdr:row>28</xdr:row>
      <xdr:rowOff>82550</xdr:rowOff>
    </xdr:to>
    <xdr:cxnSp macro="">
      <xdr:nvCxnSpPr>
        <xdr:cNvPr id="1098" name="OpenSolver532"/>
        <xdr:cNvCxnSpPr>
          <a:stCxn id="1096" idx="3"/>
          <a:endCxn id="1097" idx="1"/>
        </xdr:cNvCxnSpPr>
      </xdr:nvCxnSpPr>
      <xdr:spPr>
        <a:xfrm>
          <a:off x="7880350" y="4578350"/>
          <a:ext cx="0" cy="1651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311150</xdr:colOff>
      <xdr:row>27</xdr:row>
      <xdr:rowOff>38100</xdr:rowOff>
    </xdr:from>
    <xdr:to>
      <xdr:col>15</xdr:col>
      <xdr:colOff>190500</xdr:colOff>
      <xdr:row>28</xdr:row>
      <xdr:rowOff>127000</xdr:rowOff>
    </xdr:to>
    <xdr:sp macro="" textlink="">
      <xdr:nvSpPr>
        <xdr:cNvPr id="1099" name="OpenSolver533"/>
        <xdr:cNvSpPr/>
      </xdr:nvSpPr>
      <xdr:spPr>
        <a:xfrm>
          <a:off x="768985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27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1100" name="OpenSolver534"/>
        <xdr:cNvSpPr/>
      </xdr:nvSpPr>
      <xdr:spPr>
        <a:xfrm>
          <a:off x="788035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17</xdr:col>
      <xdr:colOff>0</xdr:colOff>
      <xdr:row>29</xdr:row>
      <xdr:rowOff>0</xdr:rowOff>
    </xdr:to>
    <xdr:sp macro="" textlink="">
      <xdr:nvSpPr>
        <xdr:cNvPr id="1101" name="OpenSolver535"/>
        <xdr:cNvSpPr/>
      </xdr:nvSpPr>
      <xdr:spPr>
        <a:xfrm>
          <a:off x="838200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27</xdr:row>
      <xdr:rowOff>82550</xdr:rowOff>
    </xdr:from>
    <xdr:to>
      <xdr:col>16</xdr:col>
      <xdr:colOff>0</xdr:colOff>
      <xdr:row>28</xdr:row>
      <xdr:rowOff>82550</xdr:rowOff>
    </xdr:to>
    <xdr:cxnSp macro="">
      <xdr:nvCxnSpPr>
        <xdr:cNvPr id="1102" name="OpenSolver536"/>
        <xdr:cNvCxnSpPr>
          <a:stCxn id="1100" idx="3"/>
          <a:endCxn id="1101" idx="1"/>
        </xdr:cNvCxnSpPr>
      </xdr:nvCxnSpPr>
      <xdr:spPr>
        <a:xfrm>
          <a:off x="8382000" y="4578350"/>
          <a:ext cx="0" cy="165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311150</xdr:colOff>
      <xdr:row>27</xdr:row>
      <xdr:rowOff>38100</xdr:rowOff>
    </xdr:from>
    <xdr:to>
      <xdr:col>16</xdr:col>
      <xdr:colOff>190500</xdr:colOff>
      <xdr:row>28</xdr:row>
      <xdr:rowOff>127000</xdr:rowOff>
    </xdr:to>
    <xdr:sp macro="" textlink="">
      <xdr:nvSpPr>
        <xdr:cNvPr id="1103" name="OpenSolver537"/>
        <xdr:cNvSpPr/>
      </xdr:nvSpPr>
      <xdr:spPr>
        <a:xfrm>
          <a:off x="819150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28</xdr:row>
      <xdr:rowOff>0</xdr:rowOff>
    </xdr:to>
    <xdr:sp macro="" textlink="">
      <xdr:nvSpPr>
        <xdr:cNvPr id="1104" name="OpenSolver538"/>
        <xdr:cNvSpPr/>
      </xdr:nvSpPr>
      <xdr:spPr>
        <a:xfrm>
          <a:off x="8382000" y="44958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17</xdr:col>
      <xdr:colOff>0</xdr:colOff>
      <xdr:row>28</xdr:row>
      <xdr:rowOff>0</xdr:rowOff>
    </xdr:from>
    <xdr:to>
      <xdr:col>18</xdr:col>
      <xdr:colOff>0</xdr:colOff>
      <xdr:row>29</xdr:row>
      <xdr:rowOff>0</xdr:rowOff>
    </xdr:to>
    <xdr:sp macro="" textlink="">
      <xdr:nvSpPr>
        <xdr:cNvPr id="1105" name="OpenSolver539"/>
        <xdr:cNvSpPr/>
      </xdr:nvSpPr>
      <xdr:spPr>
        <a:xfrm>
          <a:off x="8883650" y="46609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27</xdr:row>
      <xdr:rowOff>82550</xdr:rowOff>
    </xdr:from>
    <xdr:to>
      <xdr:col>17</xdr:col>
      <xdr:colOff>0</xdr:colOff>
      <xdr:row>28</xdr:row>
      <xdr:rowOff>82550</xdr:rowOff>
    </xdr:to>
    <xdr:cxnSp macro="">
      <xdr:nvCxnSpPr>
        <xdr:cNvPr id="1106" name="OpenSolver540"/>
        <xdr:cNvCxnSpPr>
          <a:stCxn id="1104" idx="3"/>
          <a:endCxn id="1105" idx="1"/>
        </xdr:cNvCxnSpPr>
      </xdr:nvCxnSpPr>
      <xdr:spPr>
        <a:xfrm>
          <a:off x="8883650" y="4578350"/>
          <a:ext cx="0" cy="1651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311150</xdr:colOff>
      <xdr:row>27</xdr:row>
      <xdr:rowOff>38100</xdr:rowOff>
    </xdr:from>
    <xdr:to>
      <xdr:col>17</xdr:col>
      <xdr:colOff>190500</xdr:colOff>
      <xdr:row>28</xdr:row>
      <xdr:rowOff>127000</xdr:rowOff>
    </xdr:to>
    <xdr:sp macro="" textlink="">
      <xdr:nvSpPr>
        <xdr:cNvPr id="1107" name="OpenSolver541"/>
        <xdr:cNvSpPr/>
      </xdr:nvSpPr>
      <xdr:spPr>
        <a:xfrm>
          <a:off x="8693150" y="4533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1108" name="OpenSolverE30"/>
        <xdr:cNvSpPr/>
      </xdr:nvSpPr>
      <xdr:spPr>
        <a:xfrm>
          <a:off x="236220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</xdr:col>
      <xdr:colOff>0</xdr:colOff>
      <xdr:row>29</xdr:row>
      <xdr:rowOff>0</xdr:rowOff>
    </xdr:from>
    <xdr:to>
      <xdr:col>6</xdr:col>
      <xdr:colOff>0</xdr:colOff>
      <xdr:row>30</xdr:row>
      <xdr:rowOff>0</xdr:rowOff>
    </xdr:to>
    <xdr:sp macro="" textlink="">
      <xdr:nvSpPr>
        <xdr:cNvPr id="1109" name="OpenSolverF30"/>
        <xdr:cNvSpPr/>
      </xdr:nvSpPr>
      <xdr:spPr>
        <a:xfrm>
          <a:off x="286385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</xdr:col>
      <xdr:colOff>0</xdr:colOff>
      <xdr:row>29</xdr:row>
      <xdr:rowOff>0</xdr:rowOff>
    </xdr:from>
    <xdr:to>
      <xdr:col>7</xdr:col>
      <xdr:colOff>0</xdr:colOff>
      <xdr:row>30</xdr:row>
      <xdr:rowOff>0</xdr:rowOff>
    </xdr:to>
    <xdr:sp macro="" textlink="">
      <xdr:nvSpPr>
        <xdr:cNvPr id="1110" name="OpenSolverG30"/>
        <xdr:cNvSpPr/>
      </xdr:nvSpPr>
      <xdr:spPr>
        <a:xfrm>
          <a:off x="336550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1111" name="OpenSolverH30"/>
        <xdr:cNvSpPr/>
      </xdr:nvSpPr>
      <xdr:spPr>
        <a:xfrm>
          <a:off x="386715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sp macro="" textlink="">
      <xdr:nvSpPr>
        <xdr:cNvPr id="1112" name="OpenSolverI30"/>
        <xdr:cNvSpPr/>
      </xdr:nvSpPr>
      <xdr:spPr>
        <a:xfrm>
          <a:off x="436880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1113" name="OpenSolverJ30"/>
        <xdr:cNvSpPr/>
      </xdr:nvSpPr>
      <xdr:spPr>
        <a:xfrm>
          <a:off x="487045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11</xdr:col>
      <xdr:colOff>0</xdr:colOff>
      <xdr:row>30</xdr:row>
      <xdr:rowOff>0</xdr:rowOff>
    </xdr:to>
    <xdr:sp macro="" textlink="">
      <xdr:nvSpPr>
        <xdr:cNvPr id="1114" name="OpenSolverK30"/>
        <xdr:cNvSpPr/>
      </xdr:nvSpPr>
      <xdr:spPr>
        <a:xfrm>
          <a:off x="537210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</xdr:col>
      <xdr:colOff>0</xdr:colOff>
      <xdr:row>29</xdr:row>
      <xdr:rowOff>0</xdr:rowOff>
    </xdr:from>
    <xdr:to>
      <xdr:col>12</xdr:col>
      <xdr:colOff>0</xdr:colOff>
      <xdr:row>30</xdr:row>
      <xdr:rowOff>0</xdr:rowOff>
    </xdr:to>
    <xdr:sp macro="" textlink="">
      <xdr:nvSpPr>
        <xdr:cNvPr id="1115" name="OpenSolverL30"/>
        <xdr:cNvSpPr/>
      </xdr:nvSpPr>
      <xdr:spPr>
        <a:xfrm>
          <a:off x="587375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0</xdr:colOff>
      <xdr:row>29</xdr:row>
      <xdr:rowOff>0</xdr:rowOff>
    </xdr:from>
    <xdr:to>
      <xdr:col>13</xdr:col>
      <xdr:colOff>0</xdr:colOff>
      <xdr:row>30</xdr:row>
      <xdr:rowOff>0</xdr:rowOff>
    </xdr:to>
    <xdr:sp macro="" textlink="">
      <xdr:nvSpPr>
        <xdr:cNvPr id="1116" name="OpenSolverM30"/>
        <xdr:cNvSpPr/>
      </xdr:nvSpPr>
      <xdr:spPr>
        <a:xfrm>
          <a:off x="637540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30</xdr:row>
      <xdr:rowOff>0</xdr:rowOff>
    </xdr:to>
    <xdr:sp macro="" textlink="">
      <xdr:nvSpPr>
        <xdr:cNvPr id="1117" name="OpenSolverN30"/>
        <xdr:cNvSpPr/>
      </xdr:nvSpPr>
      <xdr:spPr>
        <a:xfrm>
          <a:off x="687705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14</xdr:col>
      <xdr:colOff>0</xdr:colOff>
      <xdr:row>29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1118" name="OpenSolverO30"/>
        <xdr:cNvSpPr/>
      </xdr:nvSpPr>
      <xdr:spPr>
        <a:xfrm>
          <a:off x="737870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</xdr:col>
      <xdr:colOff>0</xdr:colOff>
      <xdr:row>29</xdr:row>
      <xdr:rowOff>0</xdr:rowOff>
    </xdr:from>
    <xdr:to>
      <xdr:col>16</xdr:col>
      <xdr:colOff>0</xdr:colOff>
      <xdr:row>30</xdr:row>
      <xdr:rowOff>0</xdr:rowOff>
    </xdr:to>
    <xdr:sp macro="" textlink="">
      <xdr:nvSpPr>
        <xdr:cNvPr id="1119" name="OpenSolverP30"/>
        <xdr:cNvSpPr/>
      </xdr:nvSpPr>
      <xdr:spPr>
        <a:xfrm>
          <a:off x="788035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16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" textlink="">
      <xdr:nvSpPr>
        <xdr:cNvPr id="1120" name="OpenSolverQ30"/>
        <xdr:cNvSpPr/>
      </xdr:nvSpPr>
      <xdr:spPr>
        <a:xfrm>
          <a:off x="838200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17</xdr:col>
      <xdr:colOff>0</xdr:colOff>
      <xdr:row>29</xdr:row>
      <xdr:rowOff>0</xdr:rowOff>
    </xdr:from>
    <xdr:to>
      <xdr:col>18</xdr:col>
      <xdr:colOff>0</xdr:colOff>
      <xdr:row>30</xdr:row>
      <xdr:rowOff>0</xdr:rowOff>
    </xdr:to>
    <xdr:sp macro="" textlink="">
      <xdr:nvSpPr>
        <xdr:cNvPr id="1121" name="OpenSolverR30"/>
        <xdr:cNvSpPr/>
      </xdr:nvSpPr>
      <xdr:spPr>
        <a:xfrm>
          <a:off x="8883650" y="4826000"/>
          <a:ext cx="501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</xdr:col>
      <xdr:colOff>12700</xdr:colOff>
      <xdr:row>5</xdr:row>
      <xdr:rowOff>12700</xdr:rowOff>
    </xdr:from>
    <xdr:to>
      <xdr:col>18</xdr:col>
      <xdr:colOff>0</xdr:colOff>
      <xdr:row>9</xdr:row>
      <xdr:rowOff>0</xdr:rowOff>
    </xdr:to>
    <xdr:sp macro="" textlink="">
      <xdr:nvSpPr>
        <xdr:cNvPr id="1122" name="OpenSolver556"/>
        <xdr:cNvSpPr/>
      </xdr:nvSpPr>
      <xdr:spPr>
        <a:xfrm>
          <a:off x="2374900" y="876300"/>
          <a:ext cx="7010400" cy="6477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4</xdr:row>
      <xdr:rowOff>101600</xdr:rowOff>
    </xdr:from>
    <xdr:to>
      <xdr:col>4</xdr:col>
      <xdr:colOff>321242</xdr:colOff>
      <xdr:row>5</xdr:row>
      <xdr:rowOff>63500</xdr:rowOff>
    </xdr:to>
    <xdr:sp macro="" textlink="">
      <xdr:nvSpPr>
        <xdr:cNvPr id="1123" name="OpenSolver557"/>
        <xdr:cNvSpPr/>
      </xdr:nvSpPr>
      <xdr:spPr>
        <a:xfrm>
          <a:off x="2362200" y="8001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binary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12700</xdr:colOff>
      <xdr:row>10</xdr:row>
      <xdr:rowOff>12700</xdr:rowOff>
    </xdr:from>
    <xdr:to>
      <xdr:col>18</xdr:col>
      <xdr:colOff>0</xdr:colOff>
      <xdr:row>14</xdr:row>
      <xdr:rowOff>0</xdr:rowOff>
    </xdr:to>
    <xdr:sp macro="" textlink="">
      <xdr:nvSpPr>
        <xdr:cNvPr id="1124" name="OpenSolver558"/>
        <xdr:cNvSpPr/>
      </xdr:nvSpPr>
      <xdr:spPr>
        <a:xfrm>
          <a:off x="2374900" y="1701800"/>
          <a:ext cx="7010400" cy="6477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101600</xdr:rowOff>
    </xdr:from>
    <xdr:to>
      <xdr:col>4</xdr:col>
      <xdr:colOff>321242</xdr:colOff>
      <xdr:row>10</xdr:row>
      <xdr:rowOff>63500</xdr:rowOff>
    </xdr:to>
    <xdr:sp macro="" textlink="">
      <xdr:nvSpPr>
        <xdr:cNvPr id="1125" name="OpenSolver559"/>
        <xdr:cNvSpPr/>
      </xdr:nvSpPr>
      <xdr:spPr>
        <a:xfrm>
          <a:off x="2362200" y="1625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binary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12700</xdr:colOff>
      <xdr:row>15</xdr:row>
      <xdr:rowOff>12700</xdr:rowOff>
    </xdr:from>
    <xdr:to>
      <xdr:col>18</xdr:col>
      <xdr:colOff>0</xdr:colOff>
      <xdr:row>19</xdr:row>
      <xdr:rowOff>0</xdr:rowOff>
    </xdr:to>
    <xdr:sp macro="" textlink="">
      <xdr:nvSpPr>
        <xdr:cNvPr id="1126" name="OpenSolver560"/>
        <xdr:cNvSpPr/>
      </xdr:nvSpPr>
      <xdr:spPr>
        <a:xfrm>
          <a:off x="2374900" y="2527300"/>
          <a:ext cx="7010400" cy="6477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14</xdr:row>
      <xdr:rowOff>101600</xdr:rowOff>
    </xdr:from>
    <xdr:to>
      <xdr:col>4</xdr:col>
      <xdr:colOff>321242</xdr:colOff>
      <xdr:row>15</xdr:row>
      <xdr:rowOff>63500</xdr:rowOff>
    </xdr:to>
    <xdr:sp macro="" textlink="">
      <xdr:nvSpPr>
        <xdr:cNvPr id="1127" name="OpenSolver561"/>
        <xdr:cNvSpPr/>
      </xdr:nvSpPr>
      <xdr:spPr>
        <a:xfrm>
          <a:off x="2362200" y="24511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binary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12700</xdr:colOff>
      <xdr:row>20</xdr:row>
      <xdr:rowOff>12700</xdr:rowOff>
    </xdr:from>
    <xdr:to>
      <xdr:col>18</xdr:col>
      <xdr:colOff>0</xdr:colOff>
      <xdr:row>24</xdr:row>
      <xdr:rowOff>0</xdr:rowOff>
    </xdr:to>
    <xdr:sp macro="" textlink="">
      <xdr:nvSpPr>
        <xdr:cNvPr id="1128" name="OpenSolver562"/>
        <xdr:cNvSpPr/>
      </xdr:nvSpPr>
      <xdr:spPr>
        <a:xfrm>
          <a:off x="2374900" y="3352800"/>
          <a:ext cx="7010400" cy="6477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19</xdr:row>
      <xdr:rowOff>101600</xdr:rowOff>
    </xdr:from>
    <xdr:to>
      <xdr:col>4</xdr:col>
      <xdr:colOff>321242</xdr:colOff>
      <xdr:row>20</xdr:row>
      <xdr:rowOff>63500</xdr:rowOff>
    </xdr:to>
    <xdr:sp macro="" textlink="">
      <xdr:nvSpPr>
        <xdr:cNvPr id="1129" name="OpenSolver563"/>
        <xdr:cNvSpPr/>
      </xdr:nvSpPr>
      <xdr:spPr>
        <a:xfrm>
          <a:off x="2362200" y="3276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binary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12700</xdr:colOff>
      <xdr:row>25</xdr:row>
      <xdr:rowOff>12700</xdr:rowOff>
    </xdr:from>
    <xdr:to>
      <xdr:col>18</xdr:col>
      <xdr:colOff>0</xdr:colOff>
      <xdr:row>29</xdr:row>
      <xdr:rowOff>0</xdr:rowOff>
    </xdr:to>
    <xdr:sp macro="" textlink="">
      <xdr:nvSpPr>
        <xdr:cNvPr id="1130" name="OpenSolver564"/>
        <xdr:cNvSpPr/>
      </xdr:nvSpPr>
      <xdr:spPr>
        <a:xfrm>
          <a:off x="2374900" y="4178300"/>
          <a:ext cx="7010400" cy="6477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24</xdr:row>
      <xdr:rowOff>101600</xdr:rowOff>
    </xdr:from>
    <xdr:to>
      <xdr:col>4</xdr:col>
      <xdr:colOff>321242</xdr:colOff>
      <xdr:row>25</xdr:row>
      <xdr:rowOff>63500</xdr:rowOff>
    </xdr:to>
    <xdr:sp macro="" textlink="">
      <xdr:nvSpPr>
        <xdr:cNvPr id="1131" name="OpenSolver565"/>
        <xdr:cNvSpPr/>
      </xdr:nvSpPr>
      <xdr:spPr>
        <a:xfrm>
          <a:off x="2362200" y="41021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binary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527300" y="889000"/>
          <a:ext cx="4254500" cy="3556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15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527300" y="1422400"/>
          <a:ext cx="4254500" cy="3556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4" name="OpenSolver3"/>
        <xdr:cNvSpPr/>
      </xdr:nvSpPr>
      <xdr:spPr>
        <a:xfrm>
          <a:off x="2527300" y="1955800"/>
          <a:ext cx="4254500" cy="3556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15</xdr:col>
      <xdr:colOff>0</xdr:colOff>
      <xdr:row>17</xdr:row>
      <xdr:rowOff>0</xdr:rowOff>
    </xdr:to>
    <xdr:sp macro="" textlink="">
      <xdr:nvSpPr>
        <xdr:cNvPr id="5" name="OpenSolver4"/>
        <xdr:cNvSpPr/>
      </xdr:nvSpPr>
      <xdr:spPr>
        <a:xfrm>
          <a:off x="2527300" y="2844800"/>
          <a:ext cx="4254500" cy="1778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6" name="OpenSolver5"/>
        <xdr:cNvSpPr/>
      </xdr:nvSpPr>
      <xdr:spPr>
        <a:xfrm>
          <a:off x="2527300" y="3200400"/>
          <a:ext cx="4254500" cy="1778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7" name="OpenSolver6"/>
        <xdr:cNvSpPr/>
      </xdr:nvSpPr>
      <xdr:spPr>
        <a:xfrm>
          <a:off x="2527300" y="3556000"/>
          <a:ext cx="4254500" cy="1778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15</xdr:col>
      <xdr:colOff>0</xdr:colOff>
      <xdr:row>23</xdr:row>
      <xdr:rowOff>0</xdr:rowOff>
    </xdr:to>
    <xdr:sp macro="" textlink="">
      <xdr:nvSpPr>
        <xdr:cNvPr id="8" name="OpenSolver7"/>
        <xdr:cNvSpPr/>
      </xdr:nvSpPr>
      <xdr:spPr>
        <a:xfrm>
          <a:off x="2527300" y="3911600"/>
          <a:ext cx="4254500" cy="1778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24</xdr:row>
      <xdr:rowOff>0</xdr:rowOff>
    </xdr:from>
    <xdr:to>
      <xdr:col>15</xdr:col>
      <xdr:colOff>0</xdr:colOff>
      <xdr:row>25</xdr:row>
      <xdr:rowOff>0</xdr:rowOff>
    </xdr:to>
    <xdr:sp macro="" textlink="">
      <xdr:nvSpPr>
        <xdr:cNvPr id="9" name="OpenSolver8"/>
        <xdr:cNvSpPr/>
      </xdr:nvSpPr>
      <xdr:spPr>
        <a:xfrm>
          <a:off x="2527300" y="4267200"/>
          <a:ext cx="4254500" cy="1778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26</xdr:row>
      <xdr:rowOff>0</xdr:rowOff>
    </xdr:from>
    <xdr:to>
      <xdr:col>15</xdr:col>
      <xdr:colOff>0</xdr:colOff>
      <xdr:row>27</xdr:row>
      <xdr:rowOff>0</xdr:rowOff>
    </xdr:to>
    <xdr:sp macro="" textlink="">
      <xdr:nvSpPr>
        <xdr:cNvPr id="10" name="OpenSolver9"/>
        <xdr:cNvSpPr/>
      </xdr:nvSpPr>
      <xdr:spPr>
        <a:xfrm>
          <a:off x="2527300" y="4622800"/>
          <a:ext cx="4254500" cy="1778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19</xdr:col>
      <xdr:colOff>0</xdr:colOff>
      <xdr:row>17</xdr:row>
      <xdr:rowOff>0</xdr:rowOff>
    </xdr:to>
    <xdr:sp macro="" textlink="">
      <xdr:nvSpPr>
        <xdr:cNvPr id="11" name="OpenSolver10"/>
        <xdr:cNvSpPr/>
      </xdr:nvSpPr>
      <xdr:spPr>
        <a:xfrm>
          <a:off x="7442200" y="2844800"/>
          <a:ext cx="6477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222250</xdr:colOff>
      <xdr:row>15</xdr:row>
      <xdr:rowOff>101600</xdr:rowOff>
    </xdr:from>
    <xdr:to>
      <xdr:col>17</xdr:col>
      <xdr:colOff>218389</xdr:colOff>
      <xdr:row>16</xdr:row>
      <xdr:rowOff>50800</xdr:rowOff>
    </xdr:to>
    <xdr:sp macro="" textlink="">
      <xdr:nvSpPr>
        <xdr:cNvPr id="12" name="OpenSolver11"/>
        <xdr:cNvSpPr/>
      </xdr:nvSpPr>
      <xdr:spPr>
        <a:xfrm>
          <a:off x="7429500" y="2768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min 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13" name="OpenSolver12"/>
        <xdr:cNvSpPr/>
      </xdr:nvSpPr>
      <xdr:spPr>
        <a:xfrm>
          <a:off x="252730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33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14" name="OpenSolver13"/>
        <xdr:cNvSpPr/>
      </xdr:nvSpPr>
      <xdr:spPr>
        <a:xfrm>
          <a:off x="252730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212725</xdr:colOff>
      <xdr:row>33</xdr:row>
      <xdr:rowOff>0</xdr:rowOff>
    </xdr:from>
    <xdr:to>
      <xdr:col>5</xdr:col>
      <xdr:colOff>212725</xdr:colOff>
      <xdr:row>33</xdr:row>
      <xdr:rowOff>0</xdr:rowOff>
    </xdr:to>
    <xdr:cxnSp macro="">
      <xdr:nvCxnSpPr>
        <xdr:cNvPr id="15" name="OpenSolver14"/>
        <xdr:cNvCxnSpPr>
          <a:stCxn id="13" idx="2"/>
          <a:endCxn id="14" idx="0"/>
        </xdr:cNvCxnSpPr>
      </xdr:nvCxnSpPr>
      <xdr:spPr>
        <a:xfrm>
          <a:off x="2740025" y="56642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32</xdr:row>
      <xdr:rowOff>50800</xdr:rowOff>
    </xdr:from>
    <xdr:to>
      <xdr:col>5</xdr:col>
      <xdr:colOff>403225</xdr:colOff>
      <xdr:row>33</xdr:row>
      <xdr:rowOff>127000</xdr:rowOff>
    </xdr:to>
    <xdr:sp macro="" textlink="">
      <xdr:nvSpPr>
        <xdr:cNvPr id="16" name="OpenSolver15"/>
        <xdr:cNvSpPr/>
      </xdr:nvSpPr>
      <xdr:spPr>
        <a:xfrm>
          <a:off x="254952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7</xdr:col>
      <xdr:colOff>0</xdr:colOff>
      <xdr:row>33</xdr:row>
      <xdr:rowOff>0</xdr:rowOff>
    </xdr:to>
    <xdr:sp macro="" textlink="">
      <xdr:nvSpPr>
        <xdr:cNvPr id="17" name="OpenSolver16"/>
        <xdr:cNvSpPr/>
      </xdr:nvSpPr>
      <xdr:spPr>
        <a:xfrm>
          <a:off x="295275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33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18" name="OpenSolver17"/>
        <xdr:cNvSpPr/>
      </xdr:nvSpPr>
      <xdr:spPr>
        <a:xfrm>
          <a:off x="295275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212725</xdr:colOff>
      <xdr:row>33</xdr:row>
      <xdr:rowOff>0</xdr:rowOff>
    </xdr:from>
    <xdr:to>
      <xdr:col>6</xdr:col>
      <xdr:colOff>212725</xdr:colOff>
      <xdr:row>33</xdr:row>
      <xdr:rowOff>0</xdr:rowOff>
    </xdr:to>
    <xdr:cxnSp macro="">
      <xdr:nvCxnSpPr>
        <xdr:cNvPr id="19" name="OpenSolver18"/>
        <xdr:cNvCxnSpPr>
          <a:stCxn id="17" idx="2"/>
          <a:endCxn id="18" idx="0"/>
        </xdr:cNvCxnSpPr>
      </xdr:nvCxnSpPr>
      <xdr:spPr>
        <a:xfrm>
          <a:off x="3165475" y="56642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22225</xdr:colOff>
      <xdr:row>32</xdr:row>
      <xdr:rowOff>50800</xdr:rowOff>
    </xdr:from>
    <xdr:to>
      <xdr:col>6</xdr:col>
      <xdr:colOff>403225</xdr:colOff>
      <xdr:row>33</xdr:row>
      <xdr:rowOff>127000</xdr:rowOff>
    </xdr:to>
    <xdr:sp macro="" textlink="">
      <xdr:nvSpPr>
        <xdr:cNvPr id="20" name="OpenSolver19"/>
        <xdr:cNvSpPr/>
      </xdr:nvSpPr>
      <xdr:spPr>
        <a:xfrm>
          <a:off x="297497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21" name="OpenSolver20"/>
        <xdr:cNvSpPr/>
      </xdr:nvSpPr>
      <xdr:spPr>
        <a:xfrm>
          <a:off x="337820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22" name="OpenSolver21"/>
        <xdr:cNvSpPr/>
      </xdr:nvSpPr>
      <xdr:spPr>
        <a:xfrm>
          <a:off x="337820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212725</xdr:colOff>
      <xdr:row>33</xdr:row>
      <xdr:rowOff>0</xdr:rowOff>
    </xdr:from>
    <xdr:to>
      <xdr:col>7</xdr:col>
      <xdr:colOff>212725</xdr:colOff>
      <xdr:row>33</xdr:row>
      <xdr:rowOff>0</xdr:rowOff>
    </xdr:to>
    <xdr:cxnSp macro="">
      <xdr:nvCxnSpPr>
        <xdr:cNvPr id="23" name="OpenSolver22"/>
        <xdr:cNvCxnSpPr>
          <a:stCxn id="21" idx="2"/>
          <a:endCxn id="22" idx="0"/>
        </xdr:cNvCxnSpPr>
      </xdr:nvCxnSpPr>
      <xdr:spPr>
        <a:xfrm>
          <a:off x="3590925" y="56642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22225</xdr:colOff>
      <xdr:row>32</xdr:row>
      <xdr:rowOff>50800</xdr:rowOff>
    </xdr:from>
    <xdr:to>
      <xdr:col>7</xdr:col>
      <xdr:colOff>403225</xdr:colOff>
      <xdr:row>33</xdr:row>
      <xdr:rowOff>127000</xdr:rowOff>
    </xdr:to>
    <xdr:sp macro="" textlink="">
      <xdr:nvSpPr>
        <xdr:cNvPr id="24" name="OpenSolver23"/>
        <xdr:cNvSpPr/>
      </xdr:nvSpPr>
      <xdr:spPr>
        <a:xfrm>
          <a:off x="340042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sp macro="" textlink="">
      <xdr:nvSpPr>
        <xdr:cNvPr id="25" name="OpenSolver24"/>
        <xdr:cNvSpPr/>
      </xdr:nvSpPr>
      <xdr:spPr>
        <a:xfrm>
          <a:off x="380365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26" name="OpenSolver25"/>
        <xdr:cNvSpPr/>
      </xdr:nvSpPr>
      <xdr:spPr>
        <a:xfrm>
          <a:off x="380365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212725</xdr:colOff>
      <xdr:row>33</xdr:row>
      <xdr:rowOff>0</xdr:rowOff>
    </xdr:from>
    <xdr:to>
      <xdr:col>8</xdr:col>
      <xdr:colOff>212725</xdr:colOff>
      <xdr:row>33</xdr:row>
      <xdr:rowOff>0</xdr:rowOff>
    </xdr:to>
    <xdr:cxnSp macro="">
      <xdr:nvCxnSpPr>
        <xdr:cNvPr id="27" name="OpenSolver26"/>
        <xdr:cNvCxnSpPr>
          <a:stCxn id="25" idx="2"/>
          <a:endCxn id="26" idx="0"/>
        </xdr:cNvCxnSpPr>
      </xdr:nvCxnSpPr>
      <xdr:spPr>
        <a:xfrm>
          <a:off x="4016375" y="56642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22225</xdr:colOff>
      <xdr:row>32</xdr:row>
      <xdr:rowOff>50800</xdr:rowOff>
    </xdr:from>
    <xdr:to>
      <xdr:col>8</xdr:col>
      <xdr:colOff>403225</xdr:colOff>
      <xdr:row>33</xdr:row>
      <xdr:rowOff>127000</xdr:rowOff>
    </xdr:to>
    <xdr:sp macro="" textlink="">
      <xdr:nvSpPr>
        <xdr:cNvPr id="28" name="OpenSolver27"/>
        <xdr:cNvSpPr/>
      </xdr:nvSpPr>
      <xdr:spPr>
        <a:xfrm>
          <a:off x="382587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29" name="OpenSolver28"/>
        <xdr:cNvSpPr/>
      </xdr:nvSpPr>
      <xdr:spPr>
        <a:xfrm>
          <a:off x="422910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30" name="OpenSolver29"/>
        <xdr:cNvSpPr/>
      </xdr:nvSpPr>
      <xdr:spPr>
        <a:xfrm>
          <a:off x="422910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212725</xdr:colOff>
      <xdr:row>33</xdr:row>
      <xdr:rowOff>0</xdr:rowOff>
    </xdr:from>
    <xdr:to>
      <xdr:col>9</xdr:col>
      <xdr:colOff>212725</xdr:colOff>
      <xdr:row>33</xdr:row>
      <xdr:rowOff>0</xdr:rowOff>
    </xdr:to>
    <xdr:cxnSp macro="">
      <xdr:nvCxnSpPr>
        <xdr:cNvPr id="31" name="OpenSolver30"/>
        <xdr:cNvCxnSpPr>
          <a:stCxn id="29" idx="2"/>
          <a:endCxn id="30" idx="0"/>
        </xdr:cNvCxnSpPr>
      </xdr:nvCxnSpPr>
      <xdr:spPr>
        <a:xfrm>
          <a:off x="4441825" y="56642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22225</xdr:colOff>
      <xdr:row>32</xdr:row>
      <xdr:rowOff>50800</xdr:rowOff>
    </xdr:from>
    <xdr:to>
      <xdr:col>9</xdr:col>
      <xdr:colOff>403225</xdr:colOff>
      <xdr:row>33</xdr:row>
      <xdr:rowOff>127000</xdr:rowOff>
    </xdr:to>
    <xdr:sp macro="" textlink="">
      <xdr:nvSpPr>
        <xdr:cNvPr id="32" name="OpenSolver31"/>
        <xdr:cNvSpPr/>
      </xdr:nvSpPr>
      <xdr:spPr>
        <a:xfrm>
          <a:off x="425132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32</xdr:row>
      <xdr:rowOff>0</xdr:rowOff>
    </xdr:from>
    <xdr:to>
      <xdr:col>11</xdr:col>
      <xdr:colOff>0</xdr:colOff>
      <xdr:row>33</xdr:row>
      <xdr:rowOff>0</xdr:rowOff>
    </xdr:to>
    <xdr:sp macro="" textlink="">
      <xdr:nvSpPr>
        <xdr:cNvPr id="33" name="OpenSolver32"/>
        <xdr:cNvSpPr/>
      </xdr:nvSpPr>
      <xdr:spPr>
        <a:xfrm>
          <a:off x="465455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</xdr:col>
      <xdr:colOff>0</xdr:colOff>
      <xdr:row>33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34" name="OpenSolver33"/>
        <xdr:cNvSpPr/>
      </xdr:nvSpPr>
      <xdr:spPr>
        <a:xfrm>
          <a:off x="465455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</xdr:col>
      <xdr:colOff>212725</xdr:colOff>
      <xdr:row>33</xdr:row>
      <xdr:rowOff>0</xdr:rowOff>
    </xdr:from>
    <xdr:to>
      <xdr:col>10</xdr:col>
      <xdr:colOff>212725</xdr:colOff>
      <xdr:row>33</xdr:row>
      <xdr:rowOff>0</xdr:rowOff>
    </xdr:to>
    <xdr:cxnSp macro="">
      <xdr:nvCxnSpPr>
        <xdr:cNvPr id="35" name="OpenSolver34"/>
        <xdr:cNvCxnSpPr>
          <a:stCxn id="33" idx="2"/>
          <a:endCxn id="34" idx="0"/>
        </xdr:cNvCxnSpPr>
      </xdr:nvCxnSpPr>
      <xdr:spPr>
        <a:xfrm>
          <a:off x="4867275" y="56642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32</xdr:row>
      <xdr:rowOff>50800</xdr:rowOff>
    </xdr:from>
    <xdr:to>
      <xdr:col>10</xdr:col>
      <xdr:colOff>403225</xdr:colOff>
      <xdr:row>33</xdr:row>
      <xdr:rowOff>127000</xdr:rowOff>
    </xdr:to>
    <xdr:sp macro="" textlink="">
      <xdr:nvSpPr>
        <xdr:cNvPr id="36" name="OpenSolver35"/>
        <xdr:cNvSpPr/>
      </xdr:nvSpPr>
      <xdr:spPr>
        <a:xfrm>
          <a:off x="467677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37" name="OpenSolver36"/>
        <xdr:cNvSpPr/>
      </xdr:nvSpPr>
      <xdr:spPr>
        <a:xfrm>
          <a:off x="508000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</xdr:col>
      <xdr:colOff>0</xdr:colOff>
      <xdr:row>33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38" name="OpenSolver37"/>
        <xdr:cNvSpPr/>
      </xdr:nvSpPr>
      <xdr:spPr>
        <a:xfrm>
          <a:off x="508000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</xdr:col>
      <xdr:colOff>212725</xdr:colOff>
      <xdr:row>33</xdr:row>
      <xdr:rowOff>0</xdr:rowOff>
    </xdr:from>
    <xdr:to>
      <xdr:col>11</xdr:col>
      <xdr:colOff>212725</xdr:colOff>
      <xdr:row>33</xdr:row>
      <xdr:rowOff>0</xdr:rowOff>
    </xdr:to>
    <xdr:cxnSp macro="">
      <xdr:nvCxnSpPr>
        <xdr:cNvPr id="39" name="OpenSolver38"/>
        <xdr:cNvCxnSpPr>
          <a:stCxn id="37" idx="2"/>
          <a:endCxn id="38" idx="0"/>
        </xdr:cNvCxnSpPr>
      </xdr:nvCxnSpPr>
      <xdr:spPr>
        <a:xfrm>
          <a:off x="5292725" y="56642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22225</xdr:colOff>
      <xdr:row>32</xdr:row>
      <xdr:rowOff>50800</xdr:rowOff>
    </xdr:from>
    <xdr:to>
      <xdr:col>11</xdr:col>
      <xdr:colOff>403225</xdr:colOff>
      <xdr:row>33</xdr:row>
      <xdr:rowOff>127000</xdr:rowOff>
    </xdr:to>
    <xdr:sp macro="" textlink="">
      <xdr:nvSpPr>
        <xdr:cNvPr id="40" name="OpenSolver39"/>
        <xdr:cNvSpPr/>
      </xdr:nvSpPr>
      <xdr:spPr>
        <a:xfrm>
          <a:off x="510222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41" name="OpenSolver40"/>
        <xdr:cNvSpPr/>
      </xdr:nvSpPr>
      <xdr:spPr>
        <a:xfrm>
          <a:off x="550545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13</xdr:col>
      <xdr:colOff>0</xdr:colOff>
      <xdr:row>34</xdr:row>
      <xdr:rowOff>0</xdr:rowOff>
    </xdr:to>
    <xdr:sp macro="" textlink="">
      <xdr:nvSpPr>
        <xdr:cNvPr id="42" name="OpenSolver41"/>
        <xdr:cNvSpPr/>
      </xdr:nvSpPr>
      <xdr:spPr>
        <a:xfrm>
          <a:off x="550545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212725</xdr:colOff>
      <xdr:row>33</xdr:row>
      <xdr:rowOff>0</xdr:rowOff>
    </xdr:from>
    <xdr:to>
      <xdr:col>12</xdr:col>
      <xdr:colOff>212725</xdr:colOff>
      <xdr:row>33</xdr:row>
      <xdr:rowOff>0</xdr:rowOff>
    </xdr:to>
    <xdr:cxnSp macro="">
      <xdr:nvCxnSpPr>
        <xdr:cNvPr id="43" name="OpenSolver42"/>
        <xdr:cNvCxnSpPr>
          <a:stCxn id="41" idx="2"/>
          <a:endCxn id="42" idx="0"/>
        </xdr:cNvCxnSpPr>
      </xdr:nvCxnSpPr>
      <xdr:spPr>
        <a:xfrm>
          <a:off x="5718175" y="56642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22225</xdr:colOff>
      <xdr:row>32</xdr:row>
      <xdr:rowOff>50800</xdr:rowOff>
    </xdr:from>
    <xdr:to>
      <xdr:col>12</xdr:col>
      <xdr:colOff>403225</xdr:colOff>
      <xdr:row>33</xdr:row>
      <xdr:rowOff>127000</xdr:rowOff>
    </xdr:to>
    <xdr:sp macro="" textlink="">
      <xdr:nvSpPr>
        <xdr:cNvPr id="44" name="OpenSolver43"/>
        <xdr:cNvSpPr/>
      </xdr:nvSpPr>
      <xdr:spPr>
        <a:xfrm>
          <a:off x="552767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45" name="OpenSolver44"/>
        <xdr:cNvSpPr/>
      </xdr:nvSpPr>
      <xdr:spPr>
        <a:xfrm>
          <a:off x="593090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33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46" name="OpenSolver45"/>
        <xdr:cNvSpPr/>
      </xdr:nvSpPr>
      <xdr:spPr>
        <a:xfrm>
          <a:off x="593090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212725</xdr:colOff>
      <xdr:row>33</xdr:row>
      <xdr:rowOff>0</xdr:rowOff>
    </xdr:from>
    <xdr:to>
      <xdr:col>13</xdr:col>
      <xdr:colOff>212725</xdr:colOff>
      <xdr:row>33</xdr:row>
      <xdr:rowOff>0</xdr:rowOff>
    </xdr:to>
    <xdr:cxnSp macro="">
      <xdr:nvCxnSpPr>
        <xdr:cNvPr id="47" name="OpenSolver46"/>
        <xdr:cNvCxnSpPr>
          <a:stCxn id="45" idx="2"/>
          <a:endCxn id="46" idx="0"/>
        </xdr:cNvCxnSpPr>
      </xdr:nvCxnSpPr>
      <xdr:spPr>
        <a:xfrm>
          <a:off x="6143625" y="56642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22225</xdr:colOff>
      <xdr:row>32</xdr:row>
      <xdr:rowOff>50800</xdr:rowOff>
    </xdr:from>
    <xdr:to>
      <xdr:col>13</xdr:col>
      <xdr:colOff>403225</xdr:colOff>
      <xdr:row>33</xdr:row>
      <xdr:rowOff>127000</xdr:rowOff>
    </xdr:to>
    <xdr:sp macro="" textlink="">
      <xdr:nvSpPr>
        <xdr:cNvPr id="48" name="OpenSolver47"/>
        <xdr:cNvSpPr/>
      </xdr:nvSpPr>
      <xdr:spPr>
        <a:xfrm>
          <a:off x="595312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32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49" name="OpenSolver48"/>
        <xdr:cNvSpPr/>
      </xdr:nvSpPr>
      <xdr:spPr>
        <a:xfrm>
          <a:off x="6356350" y="54864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14</xdr:col>
      <xdr:colOff>0</xdr:colOff>
      <xdr:row>33</xdr:row>
      <xdr:rowOff>0</xdr:rowOff>
    </xdr:from>
    <xdr:to>
      <xdr:col>15</xdr:col>
      <xdr:colOff>0</xdr:colOff>
      <xdr:row>34</xdr:row>
      <xdr:rowOff>0</xdr:rowOff>
    </xdr:to>
    <xdr:sp macro="" textlink="">
      <xdr:nvSpPr>
        <xdr:cNvPr id="50" name="OpenSolver49"/>
        <xdr:cNvSpPr/>
      </xdr:nvSpPr>
      <xdr:spPr>
        <a:xfrm>
          <a:off x="6356350" y="56642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14</xdr:col>
      <xdr:colOff>212725</xdr:colOff>
      <xdr:row>33</xdr:row>
      <xdr:rowOff>0</xdr:rowOff>
    </xdr:from>
    <xdr:to>
      <xdr:col>14</xdr:col>
      <xdr:colOff>212725</xdr:colOff>
      <xdr:row>33</xdr:row>
      <xdr:rowOff>0</xdr:rowOff>
    </xdr:to>
    <xdr:cxnSp macro="">
      <xdr:nvCxnSpPr>
        <xdr:cNvPr id="51" name="OpenSolver50"/>
        <xdr:cNvCxnSpPr>
          <a:stCxn id="49" idx="2"/>
          <a:endCxn id="50" idx="0"/>
        </xdr:cNvCxnSpPr>
      </xdr:nvCxnSpPr>
      <xdr:spPr>
        <a:xfrm>
          <a:off x="6569075" y="56642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22225</xdr:colOff>
      <xdr:row>32</xdr:row>
      <xdr:rowOff>50800</xdr:rowOff>
    </xdr:from>
    <xdr:to>
      <xdr:col>14</xdr:col>
      <xdr:colOff>403225</xdr:colOff>
      <xdr:row>33</xdr:row>
      <xdr:rowOff>127000</xdr:rowOff>
    </xdr:to>
    <xdr:sp macro="" textlink="">
      <xdr:nvSpPr>
        <xdr:cNvPr id="52" name="OpenSolver51"/>
        <xdr:cNvSpPr/>
      </xdr:nvSpPr>
      <xdr:spPr>
        <a:xfrm>
          <a:off x="6378575" y="5537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34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53" name="OpenSolver52"/>
        <xdr:cNvSpPr/>
      </xdr:nvSpPr>
      <xdr:spPr>
        <a:xfrm>
          <a:off x="252730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35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54" name="OpenSolver53"/>
        <xdr:cNvSpPr/>
      </xdr:nvSpPr>
      <xdr:spPr>
        <a:xfrm>
          <a:off x="252730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212725</xdr:colOff>
      <xdr:row>35</xdr:row>
      <xdr:rowOff>0</xdr:rowOff>
    </xdr:from>
    <xdr:to>
      <xdr:col>5</xdr:col>
      <xdr:colOff>212725</xdr:colOff>
      <xdr:row>35</xdr:row>
      <xdr:rowOff>0</xdr:rowOff>
    </xdr:to>
    <xdr:cxnSp macro="">
      <xdr:nvCxnSpPr>
        <xdr:cNvPr id="55" name="OpenSolver54"/>
        <xdr:cNvCxnSpPr>
          <a:stCxn id="53" idx="2"/>
          <a:endCxn id="54" idx="0"/>
        </xdr:cNvCxnSpPr>
      </xdr:nvCxnSpPr>
      <xdr:spPr>
        <a:xfrm>
          <a:off x="2740025" y="60198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34</xdr:row>
      <xdr:rowOff>50800</xdr:rowOff>
    </xdr:from>
    <xdr:to>
      <xdr:col>5</xdr:col>
      <xdr:colOff>403225</xdr:colOff>
      <xdr:row>35</xdr:row>
      <xdr:rowOff>127000</xdr:rowOff>
    </xdr:to>
    <xdr:sp macro="" textlink="">
      <xdr:nvSpPr>
        <xdr:cNvPr id="56" name="OpenSolver55"/>
        <xdr:cNvSpPr/>
      </xdr:nvSpPr>
      <xdr:spPr>
        <a:xfrm>
          <a:off x="254952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34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57" name="OpenSolver56"/>
        <xdr:cNvSpPr/>
      </xdr:nvSpPr>
      <xdr:spPr>
        <a:xfrm>
          <a:off x="295275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35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58" name="OpenSolver57"/>
        <xdr:cNvSpPr/>
      </xdr:nvSpPr>
      <xdr:spPr>
        <a:xfrm>
          <a:off x="295275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212725</xdr:colOff>
      <xdr:row>35</xdr:row>
      <xdr:rowOff>0</xdr:rowOff>
    </xdr:from>
    <xdr:to>
      <xdr:col>6</xdr:col>
      <xdr:colOff>212725</xdr:colOff>
      <xdr:row>35</xdr:row>
      <xdr:rowOff>0</xdr:rowOff>
    </xdr:to>
    <xdr:cxnSp macro="">
      <xdr:nvCxnSpPr>
        <xdr:cNvPr id="59" name="OpenSolver58"/>
        <xdr:cNvCxnSpPr>
          <a:stCxn id="57" idx="2"/>
          <a:endCxn id="58" idx="0"/>
        </xdr:cNvCxnSpPr>
      </xdr:nvCxnSpPr>
      <xdr:spPr>
        <a:xfrm>
          <a:off x="3165475" y="60198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22225</xdr:colOff>
      <xdr:row>34</xdr:row>
      <xdr:rowOff>50800</xdr:rowOff>
    </xdr:from>
    <xdr:to>
      <xdr:col>6</xdr:col>
      <xdr:colOff>403225</xdr:colOff>
      <xdr:row>35</xdr:row>
      <xdr:rowOff>127000</xdr:rowOff>
    </xdr:to>
    <xdr:sp macro="" textlink="">
      <xdr:nvSpPr>
        <xdr:cNvPr id="60" name="OpenSolver59"/>
        <xdr:cNvSpPr/>
      </xdr:nvSpPr>
      <xdr:spPr>
        <a:xfrm>
          <a:off x="297497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61" name="OpenSolver60"/>
        <xdr:cNvSpPr/>
      </xdr:nvSpPr>
      <xdr:spPr>
        <a:xfrm>
          <a:off x="337820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62" name="OpenSolver61"/>
        <xdr:cNvSpPr/>
      </xdr:nvSpPr>
      <xdr:spPr>
        <a:xfrm>
          <a:off x="337820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212725</xdr:colOff>
      <xdr:row>35</xdr:row>
      <xdr:rowOff>0</xdr:rowOff>
    </xdr:from>
    <xdr:to>
      <xdr:col>7</xdr:col>
      <xdr:colOff>212725</xdr:colOff>
      <xdr:row>35</xdr:row>
      <xdr:rowOff>0</xdr:rowOff>
    </xdr:to>
    <xdr:cxnSp macro="">
      <xdr:nvCxnSpPr>
        <xdr:cNvPr id="63" name="OpenSolver62"/>
        <xdr:cNvCxnSpPr>
          <a:stCxn id="61" idx="2"/>
          <a:endCxn id="62" idx="0"/>
        </xdr:cNvCxnSpPr>
      </xdr:nvCxnSpPr>
      <xdr:spPr>
        <a:xfrm>
          <a:off x="3590925" y="60198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22225</xdr:colOff>
      <xdr:row>34</xdr:row>
      <xdr:rowOff>50800</xdr:rowOff>
    </xdr:from>
    <xdr:to>
      <xdr:col>7</xdr:col>
      <xdr:colOff>403225</xdr:colOff>
      <xdr:row>35</xdr:row>
      <xdr:rowOff>127000</xdr:rowOff>
    </xdr:to>
    <xdr:sp macro="" textlink="">
      <xdr:nvSpPr>
        <xdr:cNvPr id="64" name="OpenSolver63"/>
        <xdr:cNvSpPr/>
      </xdr:nvSpPr>
      <xdr:spPr>
        <a:xfrm>
          <a:off x="340042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65" name="OpenSolver64"/>
        <xdr:cNvSpPr/>
      </xdr:nvSpPr>
      <xdr:spPr>
        <a:xfrm>
          <a:off x="380365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66" name="OpenSolver65"/>
        <xdr:cNvSpPr/>
      </xdr:nvSpPr>
      <xdr:spPr>
        <a:xfrm>
          <a:off x="380365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212725</xdr:colOff>
      <xdr:row>35</xdr:row>
      <xdr:rowOff>0</xdr:rowOff>
    </xdr:from>
    <xdr:to>
      <xdr:col>8</xdr:col>
      <xdr:colOff>212725</xdr:colOff>
      <xdr:row>35</xdr:row>
      <xdr:rowOff>0</xdr:rowOff>
    </xdr:to>
    <xdr:cxnSp macro="">
      <xdr:nvCxnSpPr>
        <xdr:cNvPr id="67" name="OpenSolver66"/>
        <xdr:cNvCxnSpPr>
          <a:stCxn id="65" idx="2"/>
          <a:endCxn id="66" idx="0"/>
        </xdr:cNvCxnSpPr>
      </xdr:nvCxnSpPr>
      <xdr:spPr>
        <a:xfrm>
          <a:off x="4016375" y="60198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22225</xdr:colOff>
      <xdr:row>34</xdr:row>
      <xdr:rowOff>50800</xdr:rowOff>
    </xdr:from>
    <xdr:to>
      <xdr:col>8</xdr:col>
      <xdr:colOff>403225</xdr:colOff>
      <xdr:row>35</xdr:row>
      <xdr:rowOff>127000</xdr:rowOff>
    </xdr:to>
    <xdr:sp macro="" textlink="">
      <xdr:nvSpPr>
        <xdr:cNvPr id="68" name="OpenSolver67"/>
        <xdr:cNvSpPr/>
      </xdr:nvSpPr>
      <xdr:spPr>
        <a:xfrm>
          <a:off x="382587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69" name="OpenSolver68"/>
        <xdr:cNvSpPr/>
      </xdr:nvSpPr>
      <xdr:spPr>
        <a:xfrm>
          <a:off x="422910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70" name="OpenSolver69"/>
        <xdr:cNvSpPr/>
      </xdr:nvSpPr>
      <xdr:spPr>
        <a:xfrm>
          <a:off x="422910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212725</xdr:colOff>
      <xdr:row>35</xdr:row>
      <xdr:rowOff>0</xdr:rowOff>
    </xdr:from>
    <xdr:to>
      <xdr:col>9</xdr:col>
      <xdr:colOff>212725</xdr:colOff>
      <xdr:row>35</xdr:row>
      <xdr:rowOff>0</xdr:rowOff>
    </xdr:to>
    <xdr:cxnSp macro="">
      <xdr:nvCxnSpPr>
        <xdr:cNvPr id="71" name="OpenSolver70"/>
        <xdr:cNvCxnSpPr>
          <a:stCxn id="69" idx="2"/>
          <a:endCxn id="70" idx="0"/>
        </xdr:cNvCxnSpPr>
      </xdr:nvCxnSpPr>
      <xdr:spPr>
        <a:xfrm>
          <a:off x="4441825" y="60198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22225</xdr:colOff>
      <xdr:row>34</xdr:row>
      <xdr:rowOff>50800</xdr:rowOff>
    </xdr:from>
    <xdr:to>
      <xdr:col>9</xdr:col>
      <xdr:colOff>403225</xdr:colOff>
      <xdr:row>35</xdr:row>
      <xdr:rowOff>127000</xdr:rowOff>
    </xdr:to>
    <xdr:sp macro="" textlink="">
      <xdr:nvSpPr>
        <xdr:cNvPr id="72" name="OpenSolver71"/>
        <xdr:cNvSpPr/>
      </xdr:nvSpPr>
      <xdr:spPr>
        <a:xfrm>
          <a:off x="425132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34</xdr:row>
      <xdr:rowOff>0</xdr:rowOff>
    </xdr:from>
    <xdr:to>
      <xdr:col>11</xdr:col>
      <xdr:colOff>0</xdr:colOff>
      <xdr:row>35</xdr:row>
      <xdr:rowOff>0</xdr:rowOff>
    </xdr:to>
    <xdr:sp macro="" textlink="">
      <xdr:nvSpPr>
        <xdr:cNvPr id="73" name="OpenSolver72"/>
        <xdr:cNvSpPr/>
      </xdr:nvSpPr>
      <xdr:spPr>
        <a:xfrm>
          <a:off x="465455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11</xdr:col>
      <xdr:colOff>0</xdr:colOff>
      <xdr:row>36</xdr:row>
      <xdr:rowOff>0</xdr:rowOff>
    </xdr:to>
    <xdr:sp macro="" textlink="">
      <xdr:nvSpPr>
        <xdr:cNvPr id="74" name="OpenSolver73"/>
        <xdr:cNvSpPr/>
      </xdr:nvSpPr>
      <xdr:spPr>
        <a:xfrm>
          <a:off x="465455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212725</xdr:colOff>
      <xdr:row>35</xdr:row>
      <xdr:rowOff>0</xdr:rowOff>
    </xdr:from>
    <xdr:to>
      <xdr:col>10</xdr:col>
      <xdr:colOff>212725</xdr:colOff>
      <xdr:row>35</xdr:row>
      <xdr:rowOff>0</xdr:rowOff>
    </xdr:to>
    <xdr:cxnSp macro="">
      <xdr:nvCxnSpPr>
        <xdr:cNvPr id="75" name="OpenSolver74"/>
        <xdr:cNvCxnSpPr>
          <a:stCxn id="73" idx="2"/>
          <a:endCxn id="74" idx="0"/>
        </xdr:cNvCxnSpPr>
      </xdr:nvCxnSpPr>
      <xdr:spPr>
        <a:xfrm>
          <a:off x="4867275" y="60198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34</xdr:row>
      <xdr:rowOff>50800</xdr:rowOff>
    </xdr:from>
    <xdr:to>
      <xdr:col>10</xdr:col>
      <xdr:colOff>403225</xdr:colOff>
      <xdr:row>35</xdr:row>
      <xdr:rowOff>127000</xdr:rowOff>
    </xdr:to>
    <xdr:sp macro="" textlink="">
      <xdr:nvSpPr>
        <xdr:cNvPr id="76" name="OpenSolver75"/>
        <xdr:cNvSpPr/>
      </xdr:nvSpPr>
      <xdr:spPr>
        <a:xfrm>
          <a:off x="467677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34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77" name="OpenSolver76"/>
        <xdr:cNvSpPr/>
      </xdr:nvSpPr>
      <xdr:spPr>
        <a:xfrm>
          <a:off x="508000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35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78" name="OpenSolver77"/>
        <xdr:cNvSpPr/>
      </xdr:nvSpPr>
      <xdr:spPr>
        <a:xfrm>
          <a:off x="508000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212725</xdr:colOff>
      <xdr:row>35</xdr:row>
      <xdr:rowOff>0</xdr:rowOff>
    </xdr:from>
    <xdr:to>
      <xdr:col>11</xdr:col>
      <xdr:colOff>212725</xdr:colOff>
      <xdr:row>35</xdr:row>
      <xdr:rowOff>0</xdr:rowOff>
    </xdr:to>
    <xdr:cxnSp macro="">
      <xdr:nvCxnSpPr>
        <xdr:cNvPr id="79" name="OpenSolver78"/>
        <xdr:cNvCxnSpPr>
          <a:stCxn id="77" idx="2"/>
          <a:endCxn id="78" idx="0"/>
        </xdr:cNvCxnSpPr>
      </xdr:nvCxnSpPr>
      <xdr:spPr>
        <a:xfrm>
          <a:off x="5292725" y="60198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22225</xdr:colOff>
      <xdr:row>34</xdr:row>
      <xdr:rowOff>50800</xdr:rowOff>
    </xdr:from>
    <xdr:to>
      <xdr:col>11</xdr:col>
      <xdr:colOff>403225</xdr:colOff>
      <xdr:row>35</xdr:row>
      <xdr:rowOff>127000</xdr:rowOff>
    </xdr:to>
    <xdr:sp macro="" textlink="">
      <xdr:nvSpPr>
        <xdr:cNvPr id="80" name="OpenSolver79"/>
        <xdr:cNvSpPr/>
      </xdr:nvSpPr>
      <xdr:spPr>
        <a:xfrm>
          <a:off x="510222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34</xdr:row>
      <xdr:rowOff>0</xdr:rowOff>
    </xdr:from>
    <xdr:to>
      <xdr:col>13</xdr:col>
      <xdr:colOff>0</xdr:colOff>
      <xdr:row>35</xdr:row>
      <xdr:rowOff>0</xdr:rowOff>
    </xdr:to>
    <xdr:sp macro="" textlink="">
      <xdr:nvSpPr>
        <xdr:cNvPr id="81" name="OpenSolver80"/>
        <xdr:cNvSpPr/>
      </xdr:nvSpPr>
      <xdr:spPr>
        <a:xfrm>
          <a:off x="550545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</xdr:col>
      <xdr:colOff>0</xdr:colOff>
      <xdr:row>35</xdr:row>
      <xdr:rowOff>0</xdr:rowOff>
    </xdr:from>
    <xdr:to>
      <xdr:col>13</xdr:col>
      <xdr:colOff>0</xdr:colOff>
      <xdr:row>36</xdr:row>
      <xdr:rowOff>0</xdr:rowOff>
    </xdr:to>
    <xdr:sp macro="" textlink="">
      <xdr:nvSpPr>
        <xdr:cNvPr id="82" name="OpenSolver81"/>
        <xdr:cNvSpPr/>
      </xdr:nvSpPr>
      <xdr:spPr>
        <a:xfrm>
          <a:off x="550545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</xdr:col>
      <xdr:colOff>212725</xdr:colOff>
      <xdr:row>35</xdr:row>
      <xdr:rowOff>0</xdr:rowOff>
    </xdr:from>
    <xdr:to>
      <xdr:col>12</xdr:col>
      <xdr:colOff>212725</xdr:colOff>
      <xdr:row>35</xdr:row>
      <xdr:rowOff>0</xdr:rowOff>
    </xdr:to>
    <xdr:cxnSp macro="">
      <xdr:nvCxnSpPr>
        <xdr:cNvPr id="83" name="OpenSolver82"/>
        <xdr:cNvCxnSpPr>
          <a:stCxn id="81" idx="2"/>
          <a:endCxn id="82" idx="0"/>
        </xdr:cNvCxnSpPr>
      </xdr:nvCxnSpPr>
      <xdr:spPr>
        <a:xfrm>
          <a:off x="5718175" y="60198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22225</xdr:colOff>
      <xdr:row>34</xdr:row>
      <xdr:rowOff>50800</xdr:rowOff>
    </xdr:from>
    <xdr:to>
      <xdr:col>12</xdr:col>
      <xdr:colOff>403225</xdr:colOff>
      <xdr:row>35</xdr:row>
      <xdr:rowOff>127000</xdr:rowOff>
    </xdr:to>
    <xdr:sp macro="" textlink="">
      <xdr:nvSpPr>
        <xdr:cNvPr id="84" name="OpenSolver83"/>
        <xdr:cNvSpPr/>
      </xdr:nvSpPr>
      <xdr:spPr>
        <a:xfrm>
          <a:off x="552767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34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85" name="OpenSolver84"/>
        <xdr:cNvSpPr/>
      </xdr:nvSpPr>
      <xdr:spPr>
        <a:xfrm>
          <a:off x="593090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35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86" name="OpenSolver85"/>
        <xdr:cNvSpPr/>
      </xdr:nvSpPr>
      <xdr:spPr>
        <a:xfrm>
          <a:off x="593090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212725</xdr:colOff>
      <xdr:row>35</xdr:row>
      <xdr:rowOff>0</xdr:rowOff>
    </xdr:from>
    <xdr:to>
      <xdr:col>13</xdr:col>
      <xdr:colOff>212725</xdr:colOff>
      <xdr:row>35</xdr:row>
      <xdr:rowOff>0</xdr:rowOff>
    </xdr:to>
    <xdr:cxnSp macro="">
      <xdr:nvCxnSpPr>
        <xdr:cNvPr id="87" name="OpenSolver86"/>
        <xdr:cNvCxnSpPr>
          <a:stCxn id="85" idx="2"/>
          <a:endCxn id="86" idx="0"/>
        </xdr:cNvCxnSpPr>
      </xdr:nvCxnSpPr>
      <xdr:spPr>
        <a:xfrm>
          <a:off x="6143625" y="60198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22225</xdr:colOff>
      <xdr:row>34</xdr:row>
      <xdr:rowOff>50800</xdr:rowOff>
    </xdr:from>
    <xdr:to>
      <xdr:col>13</xdr:col>
      <xdr:colOff>403225</xdr:colOff>
      <xdr:row>35</xdr:row>
      <xdr:rowOff>127000</xdr:rowOff>
    </xdr:to>
    <xdr:sp macro="" textlink="">
      <xdr:nvSpPr>
        <xdr:cNvPr id="88" name="OpenSolver87"/>
        <xdr:cNvSpPr/>
      </xdr:nvSpPr>
      <xdr:spPr>
        <a:xfrm>
          <a:off x="595312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34</xdr:row>
      <xdr:rowOff>0</xdr:rowOff>
    </xdr:from>
    <xdr:to>
      <xdr:col>15</xdr:col>
      <xdr:colOff>0</xdr:colOff>
      <xdr:row>35</xdr:row>
      <xdr:rowOff>0</xdr:rowOff>
    </xdr:to>
    <xdr:sp macro="" textlink="">
      <xdr:nvSpPr>
        <xdr:cNvPr id="89" name="OpenSolver88"/>
        <xdr:cNvSpPr/>
      </xdr:nvSpPr>
      <xdr:spPr>
        <a:xfrm>
          <a:off x="6356350" y="58420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</xdr:col>
      <xdr:colOff>0</xdr:colOff>
      <xdr:row>35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90" name="OpenSolver89"/>
        <xdr:cNvSpPr/>
      </xdr:nvSpPr>
      <xdr:spPr>
        <a:xfrm>
          <a:off x="6356350" y="60198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</xdr:col>
      <xdr:colOff>212725</xdr:colOff>
      <xdr:row>35</xdr:row>
      <xdr:rowOff>0</xdr:rowOff>
    </xdr:from>
    <xdr:to>
      <xdr:col>14</xdr:col>
      <xdr:colOff>212725</xdr:colOff>
      <xdr:row>35</xdr:row>
      <xdr:rowOff>0</xdr:rowOff>
    </xdr:to>
    <xdr:cxnSp macro="">
      <xdr:nvCxnSpPr>
        <xdr:cNvPr id="91" name="OpenSolver90"/>
        <xdr:cNvCxnSpPr>
          <a:stCxn id="89" idx="2"/>
          <a:endCxn id="90" idx="0"/>
        </xdr:cNvCxnSpPr>
      </xdr:nvCxnSpPr>
      <xdr:spPr>
        <a:xfrm>
          <a:off x="6569075" y="60198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22225</xdr:colOff>
      <xdr:row>34</xdr:row>
      <xdr:rowOff>50800</xdr:rowOff>
    </xdr:from>
    <xdr:to>
      <xdr:col>14</xdr:col>
      <xdr:colOff>403225</xdr:colOff>
      <xdr:row>35</xdr:row>
      <xdr:rowOff>127000</xdr:rowOff>
    </xdr:to>
    <xdr:sp macro="" textlink="">
      <xdr:nvSpPr>
        <xdr:cNvPr id="92" name="OpenSolver91"/>
        <xdr:cNvSpPr/>
      </xdr:nvSpPr>
      <xdr:spPr>
        <a:xfrm>
          <a:off x="6378575" y="5892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12700</xdr:colOff>
      <xdr:row>34</xdr:row>
      <xdr:rowOff>12700</xdr:rowOff>
    </xdr:from>
    <xdr:to>
      <xdr:col>15</xdr:col>
      <xdr:colOff>0</xdr:colOff>
      <xdr:row>35</xdr:row>
      <xdr:rowOff>0</xdr:rowOff>
    </xdr:to>
    <xdr:sp macro="" textlink="">
      <xdr:nvSpPr>
        <xdr:cNvPr id="93" name="OpenSolver92"/>
        <xdr:cNvSpPr/>
      </xdr:nvSpPr>
      <xdr:spPr>
        <a:xfrm>
          <a:off x="6369050" y="5854700"/>
          <a:ext cx="4127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12700</xdr:colOff>
      <xdr:row>35</xdr:row>
      <xdr:rowOff>12700</xdr:rowOff>
    </xdr:from>
    <xdr:to>
      <xdr:col>15</xdr:col>
      <xdr:colOff>0</xdr:colOff>
      <xdr:row>36</xdr:row>
      <xdr:rowOff>0</xdr:rowOff>
    </xdr:to>
    <xdr:sp macro="" textlink="">
      <xdr:nvSpPr>
        <xdr:cNvPr id="94" name="OpenSolver93"/>
        <xdr:cNvSpPr/>
      </xdr:nvSpPr>
      <xdr:spPr>
        <a:xfrm>
          <a:off x="6369050" y="6032500"/>
          <a:ext cx="4127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219075</xdr:colOff>
      <xdr:row>35</xdr:row>
      <xdr:rowOff>0</xdr:rowOff>
    </xdr:from>
    <xdr:to>
      <xdr:col>14</xdr:col>
      <xdr:colOff>219075</xdr:colOff>
      <xdr:row>35</xdr:row>
      <xdr:rowOff>12700</xdr:rowOff>
    </xdr:to>
    <xdr:cxnSp macro="">
      <xdr:nvCxnSpPr>
        <xdr:cNvPr id="95" name="OpenSolver94"/>
        <xdr:cNvCxnSpPr>
          <a:stCxn id="93" idx="2"/>
          <a:endCxn id="94" idx="0"/>
        </xdr:cNvCxnSpPr>
      </xdr:nvCxnSpPr>
      <xdr:spPr>
        <a:xfrm>
          <a:off x="6575425" y="6019800"/>
          <a:ext cx="0" cy="127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34</xdr:row>
      <xdr:rowOff>57150</xdr:rowOff>
    </xdr:from>
    <xdr:to>
      <xdr:col>14</xdr:col>
      <xdr:colOff>409575</xdr:colOff>
      <xdr:row>35</xdr:row>
      <xdr:rowOff>133350</xdr:rowOff>
    </xdr:to>
    <xdr:sp macro="" textlink="">
      <xdr:nvSpPr>
        <xdr:cNvPr id="96" name="OpenSolver95"/>
        <xdr:cNvSpPr/>
      </xdr:nvSpPr>
      <xdr:spPr>
        <a:xfrm>
          <a:off x="6384925" y="58991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7" name="OpenSolverF8"/>
        <xdr:cNvSpPr/>
      </xdr:nvSpPr>
      <xdr:spPr>
        <a:xfrm>
          <a:off x="252730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1≥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8" name="OpenSolverG8"/>
        <xdr:cNvSpPr/>
      </xdr:nvSpPr>
      <xdr:spPr>
        <a:xfrm>
          <a:off x="295275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1≥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H8"/>
        <xdr:cNvSpPr/>
      </xdr:nvSpPr>
      <xdr:spPr>
        <a:xfrm>
          <a:off x="337820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1≥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00" name="OpenSolverI8"/>
        <xdr:cNvSpPr/>
      </xdr:nvSpPr>
      <xdr:spPr>
        <a:xfrm>
          <a:off x="380365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1≥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1" name="OpenSolverJ8"/>
        <xdr:cNvSpPr/>
      </xdr:nvSpPr>
      <xdr:spPr>
        <a:xfrm>
          <a:off x="422910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1≥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102" name="OpenSolverK8"/>
        <xdr:cNvSpPr/>
      </xdr:nvSpPr>
      <xdr:spPr>
        <a:xfrm>
          <a:off x="465455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1≥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103" name="OpenSolverL8"/>
        <xdr:cNvSpPr/>
      </xdr:nvSpPr>
      <xdr:spPr>
        <a:xfrm>
          <a:off x="508000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1≥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104" name="OpenSolverM8"/>
        <xdr:cNvSpPr/>
      </xdr:nvSpPr>
      <xdr:spPr>
        <a:xfrm>
          <a:off x="550545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1≥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105" name="OpenSolverN8"/>
        <xdr:cNvSpPr/>
      </xdr:nvSpPr>
      <xdr:spPr>
        <a:xfrm>
          <a:off x="593090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1≥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14</xdr:col>
      <xdr:colOff>0</xdr:colOff>
      <xdr:row>7</xdr:row>
      <xdr:rowOff>0</xdr:rowOff>
    </xdr:from>
    <xdr:to>
      <xdr:col>15</xdr:col>
      <xdr:colOff>0</xdr:colOff>
      <xdr:row>8</xdr:row>
      <xdr:rowOff>0</xdr:rowOff>
    </xdr:to>
    <xdr:sp macro="" textlink="">
      <xdr:nvSpPr>
        <xdr:cNvPr id="106" name="OpenSolverO8"/>
        <xdr:cNvSpPr/>
      </xdr:nvSpPr>
      <xdr:spPr>
        <a:xfrm>
          <a:off x="6356350" y="12446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1≥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07" name="OpenSolverF11"/>
        <xdr:cNvSpPr/>
      </xdr:nvSpPr>
      <xdr:spPr>
        <a:xfrm>
          <a:off x="252730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1≥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08" name="OpenSolverG11"/>
        <xdr:cNvSpPr/>
      </xdr:nvSpPr>
      <xdr:spPr>
        <a:xfrm>
          <a:off x="295275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1≥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9" name="OpenSolverH11"/>
        <xdr:cNvSpPr/>
      </xdr:nvSpPr>
      <xdr:spPr>
        <a:xfrm>
          <a:off x="337820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1≥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10" name="OpenSolverI11"/>
        <xdr:cNvSpPr/>
      </xdr:nvSpPr>
      <xdr:spPr>
        <a:xfrm>
          <a:off x="380365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1≥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11" name="OpenSolverJ11"/>
        <xdr:cNvSpPr/>
      </xdr:nvSpPr>
      <xdr:spPr>
        <a:xfrm>
          <a:off x="422910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1≥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2" name="OpenSolverK11"/>
        <xdr:cNvSpPr/>
      </xdr:nvSpPr>
      <xdr:spPr>
        <a:xfrm>
          <a:off x="465455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1≥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13" name="OpenSolverL11"/>
        <xdr:cNvSpPr/>
      </xdr:nvSpPr>
      <xdr:spPr>
        <a:xfrm>
          <a:off x="508000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1≥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10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114" name="OpenSolverM11"/>
        <xdr:cNvSpPr/>
      </xdr:nvSpPr>
      <xdr:spPr>
        <a:xfrm>
          <a:off x="550545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1≥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15" name="OpenSolverN11"/>
        <xdr:cNvSpPr/>
      </xdr:nvSpPr>
      <xdr:spPr>
        <a:xfrm>
          <a:off x="593090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1≥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14</xdr:col>
      <xdr:colOff>0</xdr:colOff>
      <xdr:row>10</xdr:row>
      <xdr:rowOff>0</xdr:rowOff>
    </xdr:from>
    <xdr:to>
      <xdr:col>15</xdr:col>
      <xdr:colOff>0</xdr:colOff>
      <xdr:row>11</xdr:row>
      <xdr:rowOff>0</xdr:rowOff>
    </xdr:to>
    <xdr:sp macro="" textlink="">
      <xdr:nvSpPr>
        <xdr:cNvPr id="116" name="OpenSolverO11"/>
        <xdr:cNvSpPr/>
      </xdr:nvSpPr>
      <xdr:spPr>
        <a:xfrm>
          <a:off x="6356350" y="17780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6</xdr:col>
      <xdr:colOff>0</xdr:colOff>
      <xdr:row>14</xdr:row>
      <xdr:rowOff>0</xdr:rowOff>
    </xdr:to>
    <xdr:sp macro="" textlink="">
      <xdr:nvSpPr>
        <xdr:cNvPr id="117" name="OpenSolverF14"/>
        <xdr:cNvSpPr/>
      </xdr:nvSpPr>
      <xdr:spPr>
        <a:xfrm>
          <a:off x="252730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1≥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118" name="OpenSolverG14"/>
        <xdr:cNvSpPr/>
      </xdr:nvSpPr>
      <xdr:spPr>
        <a:xfrm>
          <a:off x="295275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1≥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19" name="OpenSolverH14"/>
        <xdr:cNvSpPr/>
      </xdr:nvSpPr>
      <xdr:spPr>
        <a:xfrm>
          <a:off x="337820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1≥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20" name="OpenSolverI14"/>
        <xdr:cNvSpPr/>
      </xdr:nvSpPr>
      <xdr:spPr>
        <a:xfrm>
          <a:off x="380365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1≥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21" name="OpenSolverJ14"/>
        <xdr:cNvSpPr/>
      </xdr:nvSpPr>
      <xdr:spPr>
        <a:xfrm>
          <a:off x="422910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1≥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" name="OpenSolverK14"/>
        <xdr:cNvSpPr/>
      </xdr:nvSpPr>
      <xdr:spPr>
        <a:xfrm>
          <a:off x="465455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1≥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0</xdr:colOff>
      <xdr:row>14</xdr:row>
      <xdr:rowOff>0</xdr:rowOff>
    </xdr:to>
    <xdr:sp macro="" textlink="">
      <xdr:nvSpPr>
        <xdr:cNvPr id="123" name="OpenSolverL14"/>
        <xdr:cNvSpPr/>
      </xdr:nvSpPr>
      <xdr:spPr>
        <a:xfrm>
          <a:off x="508000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1≥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13</xdr:col>
      <xdr:colOff>0</xdr:colOff>
      <xdr:row>14</xdr:row>
      <xdr:rowOff>0</xdr:rowOff>
    </xdr:to>
    <xdr:sp macro="" textlink="">
      <xdr:nvSpPr>
        <xdr:cNvPr id="124" name="OpenSolverM14"/>
        <xdr:cNvSpPr/>
      </xdr:nvSpPr>
      <xdr:spPr>
        <a:xfrm>
          <a:off x="550545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1≥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14</xdr:row>
      <xdr:rowOff>0</xdr:rowOff>
    </xdr:to>
    <xdr:sp macro="" textlink="">
      <xdr:nvSpPr>
        <xdr:cNvPr id="125" name="OpenSolverN14"/>
        <xdr:cNvSpPr/>
      </xdr:nvSpPr>
      <xdr:spPr>
        <a:xfrm>
          <a:off x="593090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1≥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15</xdr:col>
      <xdr:colOff>0</xdr:colOff>
      <xdr:row>14</xdr:row>
      <xdr:rowOff>0</xdr:rowOff>
    </xdr:to>
    <xdr:sp macro="" textlink="">
      <xdr:nvSpPr>
        <xdr:cNvPr id="126" name="OpenSolverO14"/>
        <xdr:cNvSpPr/>
      </xdr:nvSpPr>
      <xdr:spPr>
        <a:xfrm>
          <a:off x="6356350" y="23114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1≥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27" name="OpenSolver126"/>
        <xdr:cNvSpPr/>
      </xdr:nvSpPr>
      <xdr:spPr>
        <a:xfrm>
          <a:off x="2527300" y="8890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28" name="OpenSolver127"/>
        <xdr:cNvSpPr/>
      </xdr:nvSpPr>
      <xdr:spPr>
        <a:xfrm>
          <a:off x="252730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</xdr:col>
      <xdr:colOff>212725</xdr:colOff>
      <xdr:row>6</xdr:row>
      <xdr:rowOff>0</xdr:rowOff>
    </xdr:from>
    <xdr:to>
      <xdr:col>5</xdr:col>
      <xdr:colOff>212725</xdr:colOff>
      <xdr:row>16</xdr:row>
      <xdr:rowOff>0</xdr:rowOff>
    </xdr:to>
    <xdr:cxnSp macro="">
      <xdr:nvCxnSpPr>
        <xdr:cNvPr id="129" name="OpenSolver128"/>
        <xdr:cNvCxnSpPr>
          <a:stCxn id="127" idx="2"/>
          <a:endCxn id="128" idx="0"/>
        </xdr:cNvCxnSpPr>
      </xdr:nvCxnSpPr>
      <xdr:spPr>
        <a:xfrm>
          <a:off x="2740025" y="1066800"/>
          <a:ext cx="0" cy="1778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10</xdr:row>
      <xdr:rowOff>50800</xdr:rowOff>
    </xdr:from>
    <xdr:to>
      <xdr:col>5</xdr:col>
      <xdr:colOff>403225</xdr:colOff>
      <xdr:row>11</xdr:row>
      <xdr:rowOff>127000</xdr:rowOff>
    </xdr:to>
    <xdr:sp macro="" textlink="">
      <xdr:nvSpPr>
        <xdr:cNvPr id="130" name="OpenSolver129"/>
        <xdr:cNvSpPr/>
      </xdr:nvSpPr>
      <xdr:spPr>
        <a:xfrm>
          <a:off x="2549525" y="1828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31" name="OpenSolver130"/>
        <xdr:cNvSpPr/>
      </xdr:nvSpPr>
      <xdr:spPr>
        <a:xfrm>
          <a:off x="2527300" y="10668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6</xdr:col>
      <xdr:colOff>0</xdr:colOff>
      <xdr:row>19</xdr:row>
      <xdr:rowOff>0</xdr:rowOff>
    </xdr:to>
    <xdr:sp macro="" textlink="">
      <xdr:nvSpPr>
        <xdr:cNvPr id="132" name="OpenSolver131"/>
        <xdr:cNvSpPr/>
      </xdr:nvSpPr>
      <xdr:spPr>
        <a:xfrm>
          <a:off x="2527300" y="32004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212725</xdr:colOff>
      <xdr:row>7</xdr:row>
      <xdr:rowOff>0</xdr:rowOff>
    </xdr:from>
    <xdr:to>
      <xdr:col>5</xdr:col>
      <xdr:colOff>212725</xdr:colOff>
      <xdr:row>18</xdr:row>
      <xdr:rowOff>0</xdr:rowOff>
    </xdr:to>
    <xdr:cxnSp macro="">
      <xdr:nvCxnSpPr>
        <xdr:cNvPr id="133" name="OpenSolver132"/>
        <xdr:cNvCxnSpPr>
          <a:stCxn id="131" idx="2"/>
          <a:endCxn id="132" idx="0"/>
        </xdr:cNvCxnSpPr>
      </xdr:nvCxnSpPr>
      <xdr:spPr>
        <a:xfrm>
          <a:off x="2740025" y="1244600"/>
          <a:ext cx="0" cy="19558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11</xdr:row>
      <xdr:rowOff>139700</xdr:rowOff>
    </xdr:from>
    <xdr:to>
      <xdr:col>5</xdr:col>
      <xdr:colOff>403225</xdr:colOff>
      <xdr:row>13</xdr:row>
      <xdr:rowOff>38100</xdr:rowOff>
    </xdr:to>
    <xdr:sp macro="" textlink="">
      <xdr:nvSpPr>
        <xdr:cNvPr id="134" name="OpenSolver133"/>
        <xdr:cNvSpPr/>
      </xdr:nvSpPr>
      <xdr:spPr>
        <a:xfrm>
          <a:off x="2549525" y="2095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35" name="OpenSolver134"/>
        <xdr:cNvSpPr/>
      </xdr:nvSpPr>
      <xdr:spPr>
        <a:xfrm>
          <a:off x="2527300" y="14224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0</xdr:colOff>
      <xdr:row>20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136" name="OpenSolver135"/>
        <xdr:cNvSpPr/>
      </xdr:nvSpPr>
      <xdr:spPr>
        <a:xfrm>
          <a:off x="2527300" y="35560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212725</xdr:colOff>
      <xdr:row>9</xdr:row>
      <xdr:rowOff>0</xdr:rowOff>
    </xdr:from>
    <xdr:to>
      <xdr:col>5</xdr:col>
      <xdr:colOff>212725</xdr:colOff>
      <xdr:row>20</xdr:row>
      <xdr:rowOff>0</xdr:rowOff>
    </xdr:to>
    <xdr:cxnSp macro="">
      <xdr:nvCxnSpPr>
        <xdr:cNvPr id="137" name="OpenSolver136"/>
        <xdr:cNvCxnSpPr>
          <a:stCxn id="135" idx="2"/>
          <a:endCxn id="136" idx="0"/>
        </xdr:cNvCxnSpPr>
      </xdr:nvCxnSpPr>
      <xdr:spPr>
        <a:xfrm>
          <a:off x="2740025" y="1600200"/>
          <a:ext cx="0" cy="19558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13</xdr:row>
      <xdr:rowOff>139700</xdr:rowOff>
    </xdr:from>
    <xdr:to>
      <xdr:col>5</xdr:col>
      <xdr:colOff>403225</xdr:colOff>
      <xdr:row>15</xdr:row>
      <xdr:rowOff>38100</xdr:rowOff>
    </xdr:to>
    <xdr:sp macro="" textlink="">
      <xdr:nvSpPr>
        <xdr:cNvPr id="138" name="OpenSolver137"/>
        <xdr:cNvSpPr/>
      </xdr:nvSpPr>
      <xdr:spPr>
        <a:xfrm>
          <a:off x="2549525" y="24511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9" name="OpenSolver138"/>
        <xdr:cNvSpPr/>
      </xdr:nvSpPr>
      <xdr:spPr>
        <a:xfrm>
          <a:off x="2527300" y="16002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6</xdr:col>
      <xdr:colOff>0</xdr:colOff>
      <xdr:row>23</xdr:row>
      <xdr:rowOff>0</xdr:rowOff>
    </xdr:to>
    <xdr:sp macro="" textlink="">
      <xdr:nvSpPr>
        <xdr:cNvPr id="140" name="OpenSolver139"/>
        <xdr:cNvSpPr/>
      </xdr:nvSpPr>
      <xdr:spPr>
        <a:xfrm>
          <a:off x="2527300" y="39116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FF6600"/>
              </a:solidFill>
            </a:rPr>
            <a:t>=</a:t>
          </a:r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</xdr:col>
      <xdr:colOff>212725</xdr:colOff>
      <xdr:row>10</xdr:row>
      <xdr:rowOff>0</xdr:rowOff>
    </xdr:from>
    <xdr:to>
      <xdr:col>5</xdr:col>
      <xdr:colOff>212725</xdr:colOff>
      <xdr:row>22</xdr:row>
      <xdr:rowOff>0</xdr:rowOff>
    </xdr:to>
    <xdr:cxnSp macro="">
      <xdr:nvCxnSpPr>
        <xdr:cNvPr id="141" name="OpenSolver140"/>
        <xdr:cNvCxnSpPr>
          <a:stCxn id="139" idx="2"/>
          <a:endCxn id="140" idx="0"/>
        </xdr:cNvCxnSpPr>
      </xdr:nvCxnSpPr>
      <xdr:spPr>
        <a:xfrm>
          <a:off x="2740025" y="1778000"/>
          <a:ext cx="0" cy="21336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15</xdr:row>
      <xdr:rowOff>50800</xdr:rowOff>
    </xdr:from>
    <xdr:to>
      <xdr:col>5</xdr:col>
      <xdr:colOff>403225</xdr:colOff>
      <xdr:row>16</xdr:row>
      <xdr:rowOff>127000</xdr:rowOff>
    </xdr:to>
    <xdr:sp macro="" textlink="">
      <xdr:nvSpPr>
        <xdr:cNvPr id="142" name="OpenSolver141"/>
        <xdr:cNvSpPr/>
      </xdr:nvSpPr>
      <xdr:spPr>
        <a:xfrm>
          <a:off x="254952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12</xdr:row>
      <xdr:rowOff>0</xdr:rowOff>
    </xdr:to>
    <xdr:sp macro="" textlink="">
      <xdr:nvSpPr>
        <xdr:cNvPr id="143" name="OpenSolver142"/>
        <xdr:cNvSpPr/>
      </xdr:nvSpPr>
      <xdr:spPr>
        <a:xfrm>
          <a:off x="2527300" y="19558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</xdr:col>
      <xdr:colOff>0</xdr:colOff>
      <xdr:row>24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144" name="OpenSolver143"/>
        <xdr:cNvSpPr/>
      </xdr:nvSpPr>
      <xdr:spPr>
        <a:xfrm>
          <a:off x="2527300" y="42672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</xdr:col>
      <xdr:colOff>212725</xdr:colOff>
      <xdr:row>12</xdr:row>
      <xdr:rowOff>0</xdr:rowOff>
    </xdr:from>
    <xdr:to>
      <xdr:col>5</xdr:col>
      <xdr:colOff>212725</xdr:colOff>
      <xdr:row>24</xdr:row>
      <xdr:rowOff>0</xdr:rowOff>
    </xdr:to>
    <xdr:cxnSp macro="">
      <xdr:nvCxnSpPr>
        <xdr:cNvPr id="145" name="OpenSolver144"/>
        <xdr:cNvCxnSpPr>
          <a:stCxn id="143" idx="2"/>
          <a:endCxn id="144" idx="0"/>
        </xdr:cNvCxnSpPr>
      </xdr:nvCxnSpPr>
      <xdr:spPr>
        <a:xfrm>
          <a:off x="2740025" y="2133600"/>
          <a:ext cx="0" cy="21336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17</xdr:row>
      <xdr:rowOff>50800</xdr:rowOff>
    </xdr:from>
    <xdr:to>
      <xdr:col>5</xdr:col>
      <xdr:colOff>403225</xdr:colOff>
      <xdr:row>18</xdr:row>
      <xdr:rowOff>127000</xdr:rowOff>
    </xdr:to>
    <xdr:sp macro="" textlink="">
      <xdr:nvSpPr>
        <xdr:cNvPr id="146" name="OpenSolver145"/>
        <xdr:cNvSpPr/>
      </xdr:nvSpPr>
      <xdr:spPr>
        <a:xfrm>
          <a:off x="2549525" y="3073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47" name="OpenSolver146"/>
        <xdr:cNvSpPr/>
      </xdr:nvSpPr>
      <xdr:spPr>
        <a:xfrm>
          <a:off x="2527300" y="21336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26</xdr:row>
      <xdr:rowOff>0</xdr:rowOff>
    </xdr:from>
    <xdr:to>
      <xdr:col>6</xdr:col>
      <xdr:colOff>0</xdr:colOff>
      <xdr:row>27</xdr:row>
      <xdr:rowOff>0</xdr:rowOff>
    </xdr:to>
    <xdr:sp macro="" textlink="">
      <xdr:nvSpPr>
        <xdr:cNvPr id="148" name="OpenSolver147"/>
        <xdr:cNvSpPr/>
      </xdr:nvSpPr>
      <xdr:spPr>
        <a:xfrm>
          <a:off x="2527300" y="46228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212725</xdr:colOff>
      <xdr:row>13</xdr:row>
      <xdr:rowOff>0</xdr:rowOff>
    </xdr:from>
    <xdr:to>
      <xdr:col>5</xdr:col>
      <xdr:colOff>212725</xdr:colOff>
      <xdr:row>26</xdr:row>
      <xdr:rowOff>0</xdr:rowOff>
    </xdr:to>
    <xdr:cxnSp macro="">
      <xdr:nvCxnSpPr>
        <xdr:cNvPr id="149" name="OpenSolver148"/>
        <xdr:cNvCxnSpPr>
          <a:stCxn id="147" idx="2"/>
          <a:endCxn id="148" idx="0"/>
        </xdr:cNvCxnSpPr>
      </xdr:nvCxnSpPr>
      <xdr:spPr>
        <a:xfrm>
          <a:off x="2740025" y="2311400"/>
          <a:ext cx="0" cy="23114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</xdr:colOff>
      <xdr:row>18</xdr:row>
      <xdr:rowOff>139700</xdr:rowOff>
    </xdr:from>
    <xdr:to>
      <xdr:col>5</xdr:col>
      <xdr:colOff>403225</xdr:colOff>
      <xdr:row>20</xdr:row>
      <xdr:rowOff>38100</xdr:rowOff>
    </xdr:to>
    <xdr:sp macro="" textlink="">
      <xdr:nvSpPr>
        <xdr:cNvPr id="150" name="OpenSolver149"/>
        <xdr:cNvSpPr/>
      </xdr:nvSpPr>
      <xdr:spPr>
        <a:xfrm>
          <a:off x="2549525" y="33401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16</xdr:col>
      <xdr:colOff>0</xdr:colOff>
      <xdr:row>6</xdr:row>
      <xdr:rowOff>0</xdr:rowOff>
    </xdr:to>
    <xdr:sp macro="" textlink="">
      <xdr:nvSpPr>
        <xdr:cNvPr id="151" name="OpenSolver150"/>
        <xdr:cNvSpPr/>
      </xdr:nvSpPr>
      <xdr:spPr>
        <a:xfrm>
          <a:off x="6781800" y="8890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17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52" name="OpenSolver151"/>
        <xdr:cNvSpPr/>
      </xdr:nvSpPr>
      <xdr:spPr>
        <a:xfrm>
          <a:off x="7442200" y="889000"/>
          <a:ext cx="323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16</xdr:col>
      <xdr:colOff>0</xdr:colOff>
      <xdr:row>5</xdr:row>
      <xdr:rowOff>88900</xdr:rowOff>
    </xdr:from>
    <xdr:to>
      <xdr:col>17</xdr:col>
      <xdr:colOff>0</xdr:colOff>
      <xdr:row>5</xdr:row>
      <xdr:rowOff>88900</xdr:rowOff>
    </xdr:to>
    <xdr:cxnSp macro="">
      <xdr:nvCxnSpPr>
        <xdr:cNvPr id="153" name="OpenSolver152"/>
        <xdr:cNvCxnSpPr>
          <a:stCxn id="151" idx="3"/>
          <a:endCxn id="152" idx="1"/>
        </xdr:cNvCxnSpPr>
      </xdr:nvCxnSpPr>
      <xdr:spPr>
        <a:xfrm>
          <a:off x="7207250" y="977900"/>
          <a:ext cx="234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352425</xdr:colOff>
      <xdr:row>4</xdr:row>
      <xdr:rowOff>139700</xdr:rowOff>
    </xdr:from>
    <xdr:to>
      <xdr:col>17</xdr:col>
      <xdr:colOff>73025</xdr:colOff>
      <xdr:row>6</xdr:row>
      <xdr:rowOff>38100</xdr:rowOff>
    </xdr:to>
    <xdr:sp macro="" textlink="">
      <xdr:nvSpPr>
        <xdr:cNvPr id="154" name="OpenSolver153"/>
        <xdr:cNvSpPr/>
      </xdr:nvSpPr>
      <xdr:spPr>
        <a:xfrm>
          <a:off x="7134225" y="8509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12700</xdr:colOff>
      <xdr:row>5</xdr:row>
      <xdr:rowOff>12700</xdr:rowOff>
    </xdr:from>
    <xdr:to>
      <xdr:col>16</xdr:col>
      <xdr:colOff>0</xdr:colOff>
      <xdr:row>6</xdr:row>
      <xdr:rowOff>0</xdr:rowOff>
    </xdr:to>
    <xdr:sp macro="" textlink="">
      <xdr:nvSpPr>
        <xdr:cNvPr id="155" name="OpenSolver154"/>
        <xdr:cNvSpPr/>
      </xdr:nvSpPr>
      <xdr:spPr>
        <a:xfrm>
          <a:off x="6794500" y="901700"/>
          <a:ext cx="41275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18</xdr:col>
      <xdr:colOff>0</xdr:colOff>
      <xdr:row>5</xdr:row>
      <xdr:rowOff>0</xdr:rowOff>
    </xdr:from>
    <xdr:to>
      <xdr:col>19</xdr:col>
      <xdr:colOff>0</xdr:colOff>
      <xdr:row>6</xdr:row>
      <xdr:rowOff>0</xdr:rowOff>
    </xdr:to>
    <xdr:sp macro="" textlink="">
      <xdr:nvSpPr>
        <xdr:cNvPr id="156" name="OpenSolver155"/>
        <xdr:cNvSpPr/>
      </xdr:nvSpPr>
      <xdr:spPr>
        <a:xfrm>
          <a:off x="7766050" y="889000"/>
          <a:ext cx="323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5</xdr:row>
      <xdr:rowOff>88900</xdr:rowOff>
    </xdr:from>
    <xdr:to>
      <xdr:col>18</xdr:col>
      <xdr:colOff>0</xdr:colOff>
      <xdr:row>5</xdr:row>
      <xdr:rowOff>95250</xdr:rowOff>
    </xdr:to>
    <xdr:cxnSp macro="">
      <xdr:nvCxnSpPr>
        <xdr:cNvPr id="157" name="OpenSolver156"/>
        <xdr:cNvCxnSpPr>
          <a:stCxn id="155" idx="3"/>
          <a:endCxn id="156" idx="1"/>
        </xdr:cNvCxnSpPr>
      </xdr:nvCxnSpPr>
      <xdr:spPr>
        <a:xfrm flipV="1">
          <a:off x="7207250" y="977900"/>
          <a:ext cx="558800" cy="63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88900</xdr:colOff>
      <xdr:row>4</xdr:row>
      <xdr:rowOff>142875</xdr:rowOff>
    </xdr:from>
    <xdr:to>
      <xdr:col>17</xdr:col>
      <xdr:colOff>234950</xdr:colOff>
      <xdr:row>6</xdr:row>
      <xdr:rowOff>41275</xdr:rowOff>
    </xdr:to>
    <xdr:sp macro="" textlink="">
      <xdr:nvSpPr>
        <xdr:cNvPr id="158" name="OpenSolver157"/>
        <xdr:cNvSpPr/>
      </xdr:nvSpPr>
      <xdr:spPr>
        <a:xfrm>
          <a:off x="7296150" y="8540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6</xdr:row>
      <xdr:rowOff>0</xdr:rowOff>
    </xdr:from>
    <xdr:to>
      <xdr:col>16</xdr:col>
      <xdr:colOff>0</xdr:colOff>
      <xdr:row>7</xdr:row>
      <xdr:rowOff>0</xdr:rowOff>
    </xdr:to>
    <xdr:sp macro="" textlink="">
      <xdr:nvSpPr>
        <xdr:cNvPr id="159" name="OpenSolver158"/>
        <xdr:cNvSpPr/>
      </xdr:nvSpPr>
      <xdr:spPr>
        <a:xfrm>
          <a:off x="6781800" y="10668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60" name="OpenSolver159"/>
        <xdr:cNvSpPr/>
      </xdr:nvSpPr>
      <xdr:spPr>
        <a:xfrm>
          <a:off x="7442200" y="1066800"/>
          <a:ext cx="323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0</xdr:colOff>
      <xdr:row>6</xdr:row>
      <xdr:rowOff>88900</xdr:rowOff>
    </xdr:from>
    <xdr:to>
      <xdr:col>17</xdr:col>
      <xdr:colOff>0</xdr:colOff>
      <xdr:row>6</xdr:row>
      <xdr:rowOff>88900</xdr:rowOff>
    </xdr:to>
    <xdr:cxnSp macro="">
      <xdr:nvCxnSpPr>
        <xdr:cNvPr id="161" name="OpenSolver160"/>
        <xdr:cNvCxnSpPr>
          <a:stCxn id="159" idx="3"/>
          <a:endCxn id="160" idx="1"/>
        </xdr:cNvCxnSpPr>
      </xdr:nvCxnSpPr>
      <xdr:spPr>
        <a:xfrm>
          <a:off x="7207250" y="1155700"/>
          <a:ext cx="234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352425</xdr:colOff>
      <xdr:row>5</xdr:row>
      <xdr:rowOff>139700</xdr:rowOff>
    </xdr:from>
    <xdr:to>
      <xdr:col>17</xdr:col>
      <xdr:colOff>73025</xdr:colOff>
      <xdr:row>7</xdr:row>
      <xdr:rowOff>38100</xdr:rowOff>
    </xdr:to>
    <xdr:sp macro="" textlink="">
      <xdr:nvSpPr>
        <xdr:cNvPr id="162" name="OpenSolver161"/>
        <xdr:cNvSpPr/>
      </xdr:nvSpPr>
      <xdr:spPr>
        <a:xfrm>
          <a:off x="7134225" y="1028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12700</xdr:colOff>
      <xdr:row>6</xdr:row>
      <xdr:rowOff>12700</xdr:rowOff>
    </xdr:from>
    <xdr:to>
      <xdr:col>16</xdr:col>
      <xdr:colOff>0</xdr:colOff>
      <xdr:row>7</xdr:row>
      <xdr:rowOff>0</xdr:rowOff>
    </xdr:to>
    <xdr:sp macro="" textlink="">
      <xdr:nvSpPr>
        <xdr:cNvPr id="163" name="OpenSolver162"/>
        <xdr:cNvSpPr/>
      </xdr:nvSpPr>
      <xdr:spPr>
        <a:xfrm>
          <a:off x="6794500" y="1079500"/>
          <a:ext cx="4127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" textlink="">
      <xdr:nvSpPr>
        <xdr:cNvPr id="164" name="OpenSolver163"/>
        <xdr:cNvSpPr/>
      </xdr:nvSpPr>
      <xdr:spPr>
        <a:xfrm>
          <a:off x="7766050" y="1066800"/>
          <a:ext cx="323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6</xdr:row>
      <xdr:rowOff>88900</xdr:rowOff>
    </xdr:from>
    <xdr:to>
      <xdr:col>18</xdr:col>
      <xdr:colOff>0</xdr:colOff>
      <xdr:row>6</xdr:row>
      <xdr:rowOff>95250</xdr:rowOff>
    </xdr:to>
    <xdr:cxnSp macro="">
      <xdr:nvCxnSpPr>
        <xdr:cNvPr id="165" name="OpenSolver164"/>
        <xdr:cNvCxnSpPr>
          <a:stCxn id="163" idx="3"/>
          <a:endCxn id="164" idx="1"/>
        </xdr:cNvCxnSpPr>
      </xdr:nvCxnSpPr>
      <xdr:spPr>
        <a:xfrm flipV="1">
          <a:off x="7207250" y="1155700"/>
          <a:ext cx="558800" cy="63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88900</xdr:colOff>
      <xdr:row>5</xdr:row>
      <xdr:rowOff>142875</xdr:rowOff>
    </xdr:from>
    <xdr:to>
      <xdr:col>17</xdr:col>
      <xdr:colOff>234950</xdr:colOff>
      <xdr:row>7</xdr:row>
      <xdr:rowOff>41275</xdr:rowOff>
    </xdr:to>
    <xdr:sp macro="" textlink="">
      <xdr:nvSpPr>
        <xdr:cNvPr id="166" name="OpenSolver165"/>
        <xdr:cNvSpPr/>
      </xdr:nvSpPr>
      <xdr:spPr>
        <a:xfrm>
          <a:off x="7296150" y="1031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16</xdr:col>
      <xdr:colOff>0</xdr:colOff>
      <xdr:row>9</xdr:row>
      <xdr:rowOff>0</xdr:rowOff>
    </xdr:to>
    <xdr:sp macro="" textlink="">
      <xdr:nvSpPr>
        <xdr:cNvPr id="167" name="OpenSolver166"/>
        <xdr:cNvSpPr/>
      </xdr:nvSpPr>
      <xdr:spPr>
        <a:xfrm>
          <a:off x="6781800" y="14224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18</xdr:col>
      <xdr:colOff>0</xdr:colOff>
      <xdr:row>9</xdr:row>
      <xdr:rowOff>0</xdr:rowOff>
    </xdr:to>
    <xdr:sp macro="" textlink="">
      <xdr:nvSpPr>
        <xdr:cNvPr id="168" name="OpenSolver167"/>
        <xdr:cNvSpPr/>
      </xdr:nvSpPr>
      <xdr:spPr>
        <a:xfrm>
          <a:off x="7442200" y="1422400"/>
          <a:ext cx="3238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0</xdr:colOff>
      <xdr:row>8</xdr:row>
      <xdr:rowOff>88900</xdr:rowOff>
    </xdr:from>
    <xdr:to>
      <xdr:col>17</xdr:col>
      <xdr:colOff>0</xdr:colOff>
      <xdr:row>8</xdr:row>
      <xdr:rowOff>88900</xdr:rowOff>
    </xdr:to>
    <xdr:cxnSp macro="">
      <xdr:nvCxnSpPr>
        <xdr:cNvPr id="169" name="OpenSolver168"/>
        <xdr:cNvCxnSpPr>
          <a:stCxn id="167" idx="3"/>
          <a:endCxn id="168" idx="1"/>
        </xdr:cNvCxnSpPr>
      </xdr:nvCxnSpPr>
      <xdr:spPr>
        <a:xfrm>
          <a:off x="7207250" y="1511300"/>
          <a:ext cx="234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352425</xdr:colOff>
      <xdr:row>7</xdr:row>
      <xdr:rowOff>139700</xdr:rowOff>
    </xdr:from>
    <xdr:to>
      <xdr:col>17</xdr:col>
      <xdr:colOff>73025</xdr:colOff>
      <xdr:row>9</xdr:row>
      <xdr:rowOff>38100</xdr:rowOff>
    </xdr:to>
    <xdr:sp macro="" textlink="">
      <xdr:nvSpPr>
        <xdr:cNvPr id="170" name="OpenSolver169"/>
        <xdr:cNvSpPr/>
      </xdr:nvSpPr>
      <xdr:spPr>
        <a:xfrm>
          <a:off x="7134225" y="1384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12700</xdr:colOff>
      <xdr:row>8</xdr:row>
      <xdr:rowOff>12700</xdr:rowOff>
    </xdr:from>
    <xdr:to>
      <xdr:col>16</xdr:col>
      <xdr:colOff>0</xdr:colOff>
      <xdr:row>9</xdr:row>
      <xdr:rowOff>0</xdr:rowOff>
    </xdr:to>
    <xdr:sp macro="" textlink="">
      <xdr:nvSpPr>
        <xdr:cNvPr id="171" name="OpenSolver170"/>
        <xdr:cNvSpPr/>
      </xdr:nvSpPr>
      <xdr:spPr>
        <a:xfrm>
          <a:off x="6794500" y="1435100"/>
          <a:ext cx="412750" cy="1651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18</xdr:col>
      <xdr:colOff>0</xdr:colOff>
      <xdr:row>8</xdr:row>
      <xdr:rowOff>0</xdr:rowOff>
    </xdr:from>
    <xdr:to>
      <xdr:col>19</xdr:col>
      <xdr:colOff>0</xdr:colOff>
      <xdr:row>9</xdr:row>
      <xdr:rowOff>0</xdr:rowOff>
    </xdr:to>
    <xdr:sp macro="" textlink="">
      <xdr:nvSpPr>
        <xdr:cNvPr id="172" name="OpenSolver171"/>
        <xdr:cNvSpPr/>
      </xdr:nvSpPr>
      <xdr:spPr>
        <a:xfrm>
          <a:off x="7766050" y="1422400"/>
          <a:ext cx="3238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8</xdr:row>
      <xdr:rowOff>88900</xdr:rowOff>
    </xdr:from>
    <xdr:to>
      <xdr:col>18</xdr:col>
      <xdr:colOff>0</xdr:colOff>
      <xdr:row>8</xdr:row>
      <xdr:rowOff>95250</xdr:rowOff>
    </xdr:to>
    <xdr:cxnSp macro="">
      <xdr:nvCxnSpPr>
        <xdr:cNvPr id="173" name="OpenSolver172"/>
        <xdr:cNvCxnSpPr>
          <a:stCxn id="171" idx="3"/>
          <a:endCxn id="172" idx="1"/>
        </xdr:cNvCxnSpPr>
      </xdr:nvCxnSpPr>
      <xdr:spPr>
        <a:xfrm flipV="1">
          <a:off x="7207250" y="1511300"/>
          <a:ext cx="558800" cy="63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88900</xdr:colOff>
      <xdr:row>7</xdr:row>
      <xdr:rowOff>142875</xdr:rowOff>
    </xdr:from>
    <xdr:to>
      <xdr:col>17</xdr:col>
      <xdr:colOff>234950</xdr:colOff>
      <xdr:row>9</xdr:row>
      <xdr:rowOff>41275</xdr:rowOff>
    </xdr:to>
    <xdr:sp macro="" textlink="">
      <xdr:nvSpPr>
        <xdr:cNvPr id="174" name="OpenSolver173"/>
        <xdr:cNvSpPr/>
      </xdr:nvSpPr>
      <xdr:spPr>
        <a:xfrm>
          <a:off x="7296150" y="13874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16</xdr:col>
      <xdr:colOff>0</xdr:colOff>
      <xdr:row>10</xdr:row>
      <xdr:rowOff>0</xdr:rowOff>
    </xdr:to>
    <xdr:sp macro="" textlink="">
      <xdr:nvSpPr>
        <xdr:cNvPr id="175" name="OpenSolver174"/>
        <xdr:cNvSpPr/>
      </xdr:nvSpPr>
      <xdr:spPr>
        <a:xfrm>
          <a:off x="6781800" y="16002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18</xdr:col>
      <xdr:colOff>0</xdr:colOff>
      <xdr:row>10</xdr:row>
      <xdr:rowOff>0</xdr:rowOff>
    </xdr:to>
    <xdr:sp macro="" textlink="">
      <xdr:nvSpPr>
        <xdr:cNvPr id="176" name="OpenSolver175"/>
        <xdr:cNvSpPr/>
      </xdr:nvSpPr>
      <xdr:spPr>
        <a:xfrm>
          <a:off x="7442200" y="1600200"/>
          <a:ext cx="3238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16</xdr:col>
      <xdr:colOff>0</xdr:colOff>
      <xdr:row>9</xdr:row>
      <xdr:rowOff>88900</xdr:rowOff>
    </xdr:from>
    <xdr:to>
      <xdr:col>17</xdr:col>
      <xdr:colOff>0</xdr:colOff>
      <xdr:row>9</xdr:row>
      <xdr:rowOff>88900</xdr:rowOff>
    </xdr:to>
    <xdr:cxnSp macro="">
      <xdr:nvCxnSpPr>
        <xdr:cNvPr id="177" name="OpenSolver176"/>
        <xdr:cNvCxnSpPr>
          <a:stCxn id="175" idx="3"/>
          <a:endCxn id="176" idx="1"/>
        </xdr:cNvCxnSpPr>
      </xdr:nvCxnSpPr>
      <xdr:spPr>
        <a:xfrm>
          <a:off x="7207250" y="1689100"/>
          <a:ext cx="234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352425</xdr:colOff>
      <xdr:row>8</xdr:row>
      <xdr:rowOff>139700</xdr:rowOff>
    </xdr:from>
    <xdr:to>
      <xdr:col>17</xdr:col>
      <xdr:colOff>73025</xdr:colOff>
      <xdr:row>10</xdr:row>
      <xdr:rowOff>38100</xdr:rowOff>
    </xdr:to>
    <xdr:sp macro="" textlink="">
      <xdr:nvSpPr>
        <xdr:cNvPr id="178" name="OpenSolver177"/>
        <xdr:cNvSpPr/>
      </xdr:nvSpPr>
      <xdr:spPr>
        <a:xfrm>
          <a:off x="7134225" y="15621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12700</xdr:colOff>
      <xdr:row>9</xdr:row>
      <xdr:rowOff>12700</xdr:rowOff>
    </xdr:from>
    <xdr:to>
      <xdr:col>16</xdr:col>
      <xdr:colOff>0</xdr:colOff>
      <xdr:row>10</xdr:row>
      <xdr:rowOff>0</xdr:rowOff>
    </xdr:to>
    <xdr:sp macro="" textlink="">
      <xdr:nvSpPr>
        <xdr:cNvPr id="179" name="OpenSolver178"/>
        <xdr:cNvSpPr/>
      </xdr:nvSpPr>
      <xdr:spPr>
        <a:xfrm>
          <a:off x="6794500" y="1612900"/>
          <a:ext cx="4127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180" name="OpenSolver179"/>
        <xdr:cNvSpPr/>
      </xdr:nvSpPr>
      <xdr:spPr>
        <a:xfrm>
          <a:off x="7766050" y="1600200"/>
          <a:ext cx="323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9</xdr:row>
      <xdr:rowOff>88900</xdr:rowOff>
    </xdr:from>
    <xdr:to>
      <xdr:col>18</xdr:col>
      <xdr:colOff>0</xdr:colOff>
      <xdr:row>9</xdr:row>
      <xdr:rowOff>95250</xdr:rowOff>
    </xdr:to>
    <xdr:cxnSp macro="">
      <xdr:nvCxnSpPr>
        <xdr:cNvPr id="181" name="OpenSolver180"/>
        <xdr:cNvCxnSpPr>
          <a:stCxn id="179" idx="3"/>
          <a:endCxn id="180" idx="1"/>
        </xdr:cNvCxnSpPr>
      </xdr:nvCxnSpPr>
      <xdr:spPr>
        <a:xfrm flipV="1">
          <a:off x="7207250" y="1689100"/>
          <a:ext cx="558800" cy="63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88900</xdr:colOff>
      <xdr:row>8</xdr:row>
      <xdr:rowOff>142875</xdr:rowOff>
    </xdr:from>
    <xdr:to>
      <xdr:col>17</xdr:col>
      <xdr:colOff>234950</xdr:colOff>
      <xdr:row>10</xdr:row>
      <xdr:rowOff>41275</xdr:rowOff>
    </xdr:to>
    <xdr:sp macro="" textlink="">
      <xdr:nvSpPr>
        <xdr:cNvPr id="182" name="OpenSolver181"/>
        <xdr:cNvSpPr/>
      </xdr:nvSpPr>
      <xdr:spPr>
        <a:xfrm>
          <a:off x="7296150" y="15652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11</xdr:row>
      <xdr:rowOff>0</xdr:rowOff>
    </xdr:from>
    <xdr:to>
      <xdr:col>16</xdr:col>
      <xdr:colOff>0</xdr:colOff>
      <xdr:row>12</xdr:row>
      <xdr:rowOff>0</xdr:rowOff>
    </xdr:to>
    <xdr:sp macro="" textlink="">
      <xdr:nvSpPr>
        <xdr:cNvPr id="183" name="OpenSolver182"/>
        <xdr:cNvSpPr/>
      </xdr:nvSpPr>
      <xdr:spPr>
        <a:xfrm>
          <a:off x="6781800" y="19558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18</xdr:col>
      <xdr:colOff>0</xdr:colOff>
      <xdr:row>12</xdr:row>
      <xdr:rowOff>0</xdr:rowOff>
    </xdr:to>
    <xdr:sp macro="" textlink="">
      <xdr:nvSpPr>
        <xdr:cNvPr id="184" name="OpenSolver183"/>
        <xdr:cNvSpPr/>
      </xdr:nvSpPr>
      <xdr:spPr>
        <a:xfrm>
          <a:off x="7442200" y="1955800"/>
          <a:ext cx="323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16</xdr:col>
      <xdr:colOff>0</xdr:colOff>
      <xdr:row>11</xdr:row>
      <xdr:rowOff>88900</xdr:rowOff>
    </xdr:from>
    <xdr:to>
      <xdr:col>17</xdr:col>
      <xdr:colOff>0</xdr:colOff>
      <xdr:row>11</xdr:row>
      <xdr:rowOff>88900</xdr:rowOff>
    </xdr:to>
    <xdr:cxnSp macro="">
      <xdr:nvCxnSpPr>
        <xdr:cNvPr id="185" name="OpenSolver184"/>
        <xdr:cNvCxnSpPr>
          <a:stCxn id="183" idx="3"/>
          <a:endCxn id="184" idx="1"/>
        </xdr:cNvCxnSpPr>
      </xdr:nvCxnSpPr>
      <xdr:spPr>
        <a:xfrm>
          <a:off x="7207250" y="2044700"/>
          <a:ext cx="234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352425</xdr:colOff>
      <xdr:row>10</xdr:row>
      <xdr:rowOff>139700</xdr:rowOff>
    </xdr:from>
    <xdr:to>
      <xdr:col>17</xdr:col>
      <xdr:colOff>73025</xdr:colOff>
      <xdr:row>12</xdr:row>
      <xdr:rowOff>38100</xdr:rowOff>
    </xdr:to>
    <xdr:sp macro="" textlink="">
      <xdr:nvSpPr>
        <xdr:cNvPr id="186" name="OpenSolver185"/>
        <xdr:cNvSpPr/>
      </xdr:nvSpPr>
      <xdr:spPr>
        <a:xfrm>
          <a:off x="7134225" y="19177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12700</xdr:colOff>
      <xdr:row>11</xdr:row>
      <xdr:rowOff>12700</xdr:rowOff>
    </xdr:from>
    <xdr:to>
      <xdr:col>16</xdr:col>
      <xdr:colOff>0</xdr:colOff>
      <xdr:row>12</xdr:row>
      <xdr:rowOff>0</xdr:rowOff>
    </xdr:to>
    <xdr:sp macro="" textlink="">
      <xdr:nvSpPr>
        <xdr:cNvPr id="187" name="OpenSolver186"/>
        <xdr:cNvSpPr/>
      </xdr:nvSpPr>
      <xdr:spPr>
        <a:xfrm>
          <a:off x="6794500" y="1968500"/>
          <a:ext cx="4127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18</xdr:col>
      <xdr:colOff>0</xdr:colOff>
      <xdr:row>11</xdr:row>
      <xdr:rowOff>0</xdr:rowOff>
    </xdr:from>
    <xdr:to>
      <xdr:col>19</xdr:col>
      <xdr:colOff>0</xdr:colOff>
      <xdr:row>12</xdr:row>
      <xdr:rowOff>0</xdr:rowOff>
    </xdr:to>
    <xdr:sp macro="" textlink="">
      <xdr:nvSpPr>
        <xdr:cNvPr id="188" name="OpenSolver187"/>
        <xdr:cNvSpPr/>
      </xdr:nvSpPr>
      <xdr:spPr>
        <a:xfrm>
          <a:off x="7766050" y="1955800"/>
          <a:ext cx="323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11</xdr:row>
      <xdr:rowOff>88900</xdr:rowOff>
    </xdr:from>
    <xdr:to>
      <xdr:col>18</xdr:col>
      <xdr:colOff>0</xdr:colOff>
      <xdr:row>11</xdr:row>
      <xdr:rowOff>95250</xdr:rowOff>
    </xdr:to>
    <xdr:cxnSp macro="">
      <xdr:nvCxnSpPr>
        <xdr:cNvPr id="189" name="OpenSolver188"/>
        <xdr:cNvCxnSpPr>
          <a:stCxn id="187" idx="3"/>
          <a:endCxn id="188" idx="1"/>
        </xdr:cNvCxnSpPr>
      </xdr:nvCxnSpPr>
      <xdr:spPr>
        <a:xfrm flipV="1">
          <a:off x="7207250" y="2044700"/>
          <a:ext cx="558800" cy="63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88900</xdr:colOff>
      <xdr:row>10</xdr:row>
      <xdr:rowOff>142875</xdr:rowOff>
    </xdr:from>
    <xdr:to>
      <xdr:col>17</xdr:col>
      <xdr:colOff>234950</xdr:colOff>
      <xdr:row>12</xdr:row>
      <xdr:rowOff>41275</xdr:rowOff>
    </xdr:to>
    <xdr:sp macro="" textlink="">
      <xdr:nvSpPr>
        <xdr:cNvPr id="190" name="OpenSolver189"/>
        <xdr:cNvSpPr/>
      </xdr:nvSpPr>
      <xdr:spPr>
        <a:xfrm>
          <a:off x="7296150" y="1920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16</xdr:col>
      <xdr:colOff>0</xdr:colOff>
      <xdr:row>13</xdr:row>
      <xdr:rowOff>0</xdr:rowOff>
    </xdr:to>
    <xdr:sp macro="" textlink="">
      <xdr:nvSpPr>
        <xdr:cNvPr id="191" name="OpenSolver190"/>
        <xdr:cNvSpPr/>
      </xdr:nvSpPr>
      <xdr:spPr>
        <a:xfrm>
          <a:off x="6781800" y="21336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17</xdr:col>
      <xdr:colOff>0</xdr:colOff>
      <xdr:row>12</xdr:row>
      <xdr:rowOff>0</xdr:rowOff>
    </xdr:from>
    <xdr:to>
      <xdr:col>18</xdr:col>
      <xdr:colOff>0</xdr:colOff>
      <xdr:row>13</xdr:row>
      <xdr:rowOff>0</xdr:rowOff>
    </xdr:to>
    <xdr:sp macro="" textlink="">
      <xdr:nvSpPr>
        <xdr:cNvPr id="192" name="OpenSolver191"/>
        <xdr:cNvSpPr/>
      </xdr:nvSpPr>
      <xdr:spPr>
        <a:xfrm>
          <a:off x="7442200" y="2133600"/>
          <a:ext cx="323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0</xdr:colOff>
      <xdr:row>12</xdr:row>
      <xdr:rowOff>88900</xdr:rowOff>
    </xdr:from>
    <xdr:to>
      <xdr:col>17</xdr:col>
      <xdr:colOff>0</xdr:colOff>
      <xdr:row>12</xdr:row>
      <xdr:rowOff>88900</xdr:rowOff>
    </xdr:to>
    <xdr:cxnSp macro="">
      <xdr:nvCxnSpPr>
        <xdr:cNvPr id="193" name="OpenSolver192"/>
        <xdr:cNvCxnSpPr>
          <a:stCxn id="191" idx="3"/>
          <a:endCxn id="192" idx="1"/>
        </xdr:cNvCxnSpPr>
      </xdr:nvCxnSpPr>
      <xdr:spPr>
        <a:xfrm>
          <a:off x="7207250" y="2222500"/>
          <a:ext cx="234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352425</xdr:colOff>
      <xdr:row>11</xdr:row>
      <xdr:rowOff>139700</xdr:rowOff>
    </xdr:from>
    <xdr:to>
      <xdr:col>17</xdr:col>
      <xdr:colOff>73025</xdr:colOff>
      <xdr:row>13</xdr:row>
      <xdr:rowOff>38100</xdr:rowOff>
    </xdr:to>
    <xdr:sp macro="" textlink="">
      <xdr:nvSpPr>
        <xdr:cNvPr id="194" name="OpenSolver193"/>
        <xdr:cNvSpPr/>
      </xdr:nvSpPr>
      <xdr:spPr>
        <a:xfrm>
          <a:off x="7134225" y="2095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12700</xdr:colOff>
      <xdr:row>12</xdr:row>
      <xdr:rowOff>12700</xdr:rowOff>
    </xdr:from>
    <xdr:to>
      <xdr:col>16</xdr:col>
      <xdr:colOff>0</xdr:colOff>
      <xdr:row>13</xdr:row>
      <xdr:rowOff>0</xdr:rowOff>
    </xdr:to>
    <xdr:sp macro="" textlink="">
      <xdr:nvSpPr>
        <xdr:cNvPr id="195" name="OpenSolver194"/>
        <xdr:cNvSpPr/>
      </xdr:nvSpPr>
      <xdr:spPr>
        <a:xfrm>
          <a:off x="6794500" y="2146300"/>
          <a:ext cx="412750" cy="165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196" name="OpenSolver195"/>
        <xdr:cNvSpPr/>
      </xdr:nvSpPr>
      <xdr:spPr>
        <a:xfrm>
          <a:off x="7766050" y="2133600"/>
          <a:ext cx="3238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0</xdr:colOff>
      <xdr:row>12</xdr:row>
      <xdr:rowOff>88900</xdr:rowOff>
    </xdr:from>
    <xdr:to>
      <xdr:col>18</xdr:col>
      <xdr:colOff>0</xdr:colOff>
      <xdr:row>12</xdr:row>
      <xdr:rowOff>95250</xdr:rowOff>
    </xdr:to>
    <xdr:cxnSp macro="">
      <xdr:nvCxnSpPr>
        <xdr:cNvPr id="197" name="OpenSolver196"/>
        <xdr:cNvCxnSpPr>
          <a:stCxn id="195" idx="3"/>
          <a:endCxn id="196" idx="1"/>
        </xdr:cNvCxnSpPr>
      </xdr:nvCxnSpPr>
      <xdr:spPr>
        <a:xfrm flipV="1">
          <a:off x="7207250" y="2222500"/>
          <a:ext cx="5588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88900</xdr:colOff>
      <xdr:row>11</xdr:row>
      <xdr:rowOff>142875</xdr:rowOff>
    </xdr:from>
    <xdr:to>
      <xdr:col>17</xdr:col>
      <xdr:colOff>234950</xdr:colOff>
      <xdr:row>13</xdr:row>
      <xdr:rowOff>41275</xdr:rowOff>
    </xdr:to>
    <xdr:sp macro="" textlink="">
      <xdr:nvSpPr>
        <xdr:cNvPr id="198" name="OpenSolver197"/>
        <xdr:cNvSpPr/>
      </xdr:nvSpPr>
      <xdr:spPr>
        <a:xfrm>
          <a:off x="7296150" y="20986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16</xdr:col>
      <xdr:colOff>0</xdr:colOff>
      <xdr:row>17</xdr:row>
      <xdr:rowOff>0</xdr:rowOff>
    </xdr:to>
    <xdr:sp macro="" textlink="">
      <xdr:nvSpPr>
        <xdr:cNvPr id="199" name="OpenSolverP17"/>
        <xdr:cNvSpPr/>
      </xdr:nvSpPr>
      <xdr:spPr>
        <a:xfrm>
          <a:off x="678180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CC0099"/>
              </a:solidFill>
            </a:rPr>
            <a:t>1=</a:t>
          </a:r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19</xdr:row>
      <xdr:rowOff>0</xdr:rowOff>
    </xdr:to>
    <xdr:sp macro="" textlink="">
      <xdr:nvSpPr>
        <xdr:cNvPr id="200" name="OpenSolverP19"/>
        <xdr:cNvSpPr/>
      </xdr:nvSpPr>
      <xdr:spPr>
        <a:xfrm>
          <a:off x="6781800" y="32004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00FF"/>
              </a:solidFill>
            </a:rPr>
            <a:t>1=</a:t>
          </a:r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201" name="OpenSolverP21"/>
        <xdr:cNvSpPr/>
      </xdr:nvSpPr>
      <xdr:spPr>
        <a:xfrm>
          <a:off x="6781800" y="35560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8000"/>
              </a:solidFill>
            </a:rPr>
            <a:t>1=</a:t>
          </a:r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16</xdr:col>
      <xdr:colOff>0</xdr:colOff>
      <xdr:row>23</xdr:row>
      <xdr:rowOff>0</xdr:rowOff>
    </xdr:to>
    <xdr:sp macro="" textlink="">
      <xdr:nvSpPr>
        <xdr:cNvPr id="202" name="OpenSolverP23"/>
        <xdr:cNvSpPr/>
      </xdr:nvSpPr>
      <xdr:spPr>
        <a:xfrm>
          <a:off x="6781800" y="39116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9900CC"/>
              </a:solidFill>
            </a:rPr>
            <a:t>1=</a:t>
          </a:r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15</xdr:col>
      <xdr:colOff>0</xdr:colOff>
      <xdr:row>24</xdr:row>
      <xdr:rowOff>0</xdr:rowOff>
    </xdr:from>
    <xdr:to>
      <xdr:col>16</xdr:col>
      <xdr:colOff>0</xdr:colOff>
      <xdr:row>25</xdr:row>
      <xdr:rowOff>0</xdr:rowOff>
    </xdr:to>
    <xdr:sp macro="" textlink="">
      <xdr:nvSpPr>
        <xdr:cNvPr id="203" name="OpenSolverP25"/>
        <xdr:cNvSpPr/>
      </xdr:nvSpPr>
      <xdr:spPr>
        <a:xfrm>
          <a:off x="6781800" y="42672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800000"/>
              </a:solidFill>
            </a:rPr>
            <a:t>1=</a:t>
          </a:r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16</xdr:col>
      <xdr:colOff>0</xdr:colOff>
      <xdr:row>27</xdr:row>
      <xdr:rowOff>0</xdr:rowOff>
    </xdr:to>
    <xdr:sp macro="" textlink="">
      <xdr:nvSpPr>
        <xdr:cNvPr id="204" name="OpenSolverP27"/>
        <xdr:cNvSpPr/>
      </xdr:nvSpPr>
      <xdr:spPr>
        <a:xfrm>
          <a:off x="6781800" y="46228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altLang="zh-CN" sz="1100" b="1">
              <a:solidFill>
                <a:srgbClr val="00CC33"/>
              </a:solidFill>
            </a:rPr>
            <a:t>1=</a:t>
          </a:r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0</xdr:colOff>
      <xdr:row>16</xdr:row>
      <xdr:rowOff>0</xdr:rowOff>
    </xdr:to>
    <xdr:sp macro="" textlink="">
      <xdr:nvSpPr>
        <xdr:cNvPr id="205" name="OpenSolver204"/>
        <xdr:cNvSpPr/>
      </xdr:nvSpPr>
      <xdr:spPr>
        <a:xfrm>
          <a:off x="295275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7</xdr:col>
      <xdr:colOff>0</xdr:colOff>
      <xdr:row>17</xdr:row>
      <xdr:rowOff>0</xdr:rowOff>
    </xdr:to>
    <xdr:sp macro="" textlink="">
      <xdr:nvSpPr>
        <xdr:cNvPr id="206" name="OpenSolver205"/>
        <xdr:cNvSpPr/>
      </xdr:nvSpPr>
      <xdr:spPr>
        <a:xfrm>
          <a:off x="295275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212725</xdr:colOff>
      <xdr:row>16</xdr:row>
      <xdr:rowOff>0</xdr:rowOff>
    </xdr:from>
    <xdr:to>
      <xdr:col>6</xdr:col>
      <xdr:colOff>212725</xdr:colOff>
      <xdr:row>16</xdr:row>
      <xdr:rowOff>0</xdr:rowOff>
    </xdr:to>
    <xdr:cxnSp macro="">
      <xdr:nvCxnSpPr>
        <xdr:cNvPr id="207" name="OpenSolver206"/>
        <xdr:cNvCxnSpPr>
          <a:stCxn id="205" idx="2"/>
          <a:endCxn id="206" idx="0"/>
        </xdr:cNvCxnSpPr>
      </xdr:nvCxnSpPr>
      <xdr:spPr>
        <a:xfrm>
          <a:off x="3165475" y="28448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22225</xdr:colOff>
      <xdr:row>15</xdr:row>
      <xdr:rowOff>50800</xdr:rowOff>
    </xdr:from>
    <xdr:to>
      <xdr:col>6</xdr:col>
      <xdr:colOff>403225</xdr:colOff>
      <xdr:row>16</xdr:row>
      <xdr:rowOff>127000</xdr:rowOff>
    </xdr:to>
    <xdr:sp macro="" textlink="">
      <xdr:nvSpPr>
        <xdr:cNvPr id="208" name="OpenSolver207"/>
        <xdr:cNvSpPr/>
      </xdr:nvSpPr>
      <xdr:spPr>
        <a:xfrm>
          <a:off x="297497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09" name="OpenSolver208"/>
        <xdr:cNvSpPr/>
      </xdr:nvSpPr>
      <xdr:spPr>
        <a:xfrm>
          <a:off x="337820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10" name="OpenSolver209"/>
        <xdr:cNvSpPr/>
      </xdr:nvSpPr>
      <xdr:spPr>
        <a:xfrm>
          <a:off x="337820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7</xdr:col>
      <xdr:colOff>212725</xdr:colOff>
      <xdr:row>16</xdr:row>
      <xdr:rowOff>0</xdr:rowOff>
    </xdr:from>
    <xdr:to>
      <xdr:col>7</xdr:col>
      <xdr:colOff>212725</xdr:colOff>
      <xdr:row>16</xdr:row>
      <xdr:rowOff>0</xdr:rowOff>
    </xdr:to>
    <xdr:cxnSp macro="">
      <xdr:nvCxnSpPr>
        <xdr:cNvPr id="211" name="OpenSolver210"/>
        <xdr:cNvCxnSpPr>
          <a:stCxn id="209" idx="2"/>
          <a:endCxn id="210" idx="0"/>
        </xdr:cNvCxnSpPr>
      </xdr:nvCxnSpPr>
      <xdr:spPr>
        <a:xfrm>
          <a:off x="3590925" y="28448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22225</xdr:colOff>
      <xdr:row>15</xdr:row>
      <xdr:rowOff>50800</xdr:rowOff>
    </xdr:from>
    <xdr:to>
      <xdr:col>7</xdr:col>
      <xdr:colOff>403225</xdr:colOff>
      <xdr:row>16</xdr:row>
      <xdr:rowOff>127000</xdr:rowOff>
    </xdr:to>
    <xdr:sp macro="" textlink="">
      <xdr:nvSpPr>
        <xdr:cNvPr id="212" name="OpenSolver211"/>
        <xdr:cNvSpPr/>
      </xdr:nvSpPr>
      <xdr:spPr>
        <a:xfrm>
          <a:off x="340042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213" name="OpenSolver212"/>
        <xdr:cNvSpPr/>
      </xdr:nvSpPr>
      <xdr:spPr>
        <a:xfrm>
          <a:off x="380365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sp macro="" textlink="">
      <xdr:nvSpPr>
        <xdr:cNvPr id="214" name="OpenSolver213"/>
        <xdr:cNvSpPr/>
      </xdr:nvSpPr>
      <xdr:spPr>
        <a:xfrm>
          <a:off x="380365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212725</xdr:colOff>
      <xdr:row>16</xdr:row>
      <xdr:rowOff>0</xdr:rowOff>
    </xdr:from>
    <xdr:to>
      <xdr:col>8</xdr:col>
      <xdr:colOff>212725</xdr:colOff>
      <xdr:row>16</xdr:row>
      <xdr:rowOff>0</xdr:rowOff>
    </xdr:to>
    <xdr:cxnSp macro="">
      <xdr:nvCxnSpPr>
        <xdr:cNvPr id="215" name="OpenSolver214"/>
        <xdr:cNvCxnSpPr>
          <a:stCxn id="213" idx="2"/>
          <a:endCxn id="214" idx="0"/>
        </xdr:cNvCxnSpPr>
      </xdr:nvCxnSpPr>
      <xdr:spPr>
        <a:xfrm>
          <a:off x="4016375" y="28448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22225</xdr:colOff>
      <xdr:row>15</xdr:row>
      <xdr:rowOff>50800</xdr:rowOff>
    </xdr:from>
    <xdr:to>
      <xdr:col>8</xdr:col>
      <xdr:colOff>403225</xdr:colOff>
      <xdr:row>16</xdr:row>
      <xdr:rowOff>127000</xdr:rowOff>
    </xdr:to>
    <xdr:sp macro="" textlink="">
      <xdr:nvSpPr>
        <xdr:cNvPr id="216" name="OpenSolver215"/>
        <xdr:cNvSpPr/>
      </xdr:nvSpPr>
      <xdr:spPr>
        <a:xfrm>
          <a:off x="382587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17" name="OpenSolver216"/>
        <xdr:cNvSpPr/>
      </xdr:nvSpPr>
      <xdr:spPr>
        <a:xfrm>
          <a:off x="422910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218" name="OpenSolver217"/>
        <xdr:cNvSpPr/>
      </xdr:nvSpPr>
      <xdr:spPr>
        <a:xfrm>
          <a:off x="422910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212725</xdr:colOff>
      <xdr:row>16</xdr:row>
      <xdr:rowOff>0</xdr:rowOff>
    </xdr:from>
    <xdr:to>
      <xdr:col>9</xdr:col>
      <xdr:colOff>212725</xdr:colOff>
      <xdr:row>16</xdr:row>
      <xdr:rowOff>0</xdr:rowOff>
    </xdr:to>
    <xdr:cxnSp macro="">
      <xdr:nvCxnSpPr>
        <xdr:cNvPr id="219" name="OpenSolver218"/>
        <xdr:cNvCxnSpPr>
          <a:stCxn id="217" idx="2"/>
          <a:endCxn id="218" idx="0"/>
        </xdr:cNvCxnSpPr>
      </xdr:nvCxnSpPr>
      <xdr:spPr>
        <a:xfrm>
          <a:off x="4441825" y="28448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22225</xdr:colOff>
      <xdr:row>15</xdr:row>
      <xdr:rowOff>50800</xdr:rowOff>
    </xdr:from>
    <xdr:to>
      <xdr:col>9</xdr:col>
      <xdr:colOff>403225</xdr:colOff>
      <xdr:row>16</xdr:row>
      <xdr:rowOff>127000</xdr:rowOff>
    </xdr:to>
    <xdr:sp macro="" textlink="">
      <xdr:nvSpPr>
        <xdr:cNvPr id="220" name="OpenSolver219"/>
        <xdr:cNvSpPr/>
      </xdr:nvSpPr>
      <xdr:spPr>
        <a:xfrm>
          <a:off x="425132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sp macro="" textlink="">
      <xdr:nvSpPr>
        <xdr:cNvPr id="221" name="OpenSolver220"/>
        <xdr:cNvSpPr/>
      </xdr:nvSpPr>
      <xdr:spPr>
        <a:xfrm>
          <a:off x="465455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11</xdr:col>
      <xdr:colOff>0</xdr:colOff>
      <xdr:row>17</xdr:row>
      <xdr:rowOff>0</xdr:rowOff>
    </xdr:to>
    <xdr:sp macro="" textlink="">
      <xdr:nvSpPr>
        <xdr:cNvPr id="222" name="OpenSolver221"/>
        <xdr:cNvSpPr/>
      </xdr:nvSpPr>
      <xdr:spPr>
        <a:xfrm>
          <a:off x="465455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212725</xdr:colOff>
      <xdr:row>16</xdr:row>
      <xdr:rowOff>0</xdr:rowOff>
    </xdr:from>
    <xdr:to>
      <xdr:col>10</xdr:col>
      <xdr:colOff>212725</xdr:colOff>
      <xdr:row>16</xdr:row>
      <xdr:rowOff>0</xdr:rowOff>
    </xdr:to>
    <xdr:cxnSp macro="">
      <xdr:nvCxnSpPr>
        <xdr:cNvPr id="223" name="OpenSolver222"/>
        <xdr:cNvCxnSpPr>
          <a:stCxn id="221" idx="2"/>
          <a:endCxn id="222" idx="0"/>
        </xdr:cNvCxnSpPr>
      </xdr:nvCxnSpPr>
      <xdr:spPr>
        <a:xfrm>
          <a:off x="4867275" y="28448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15</xdr:row>
      <xdr:rowOff>50800</xdr:rowOff>
    </xdr:from>
    <xdr:to>
      <xdr:col>10</xdr:col>
      <xdr:colOff>403225</xdr:colOff>
      <xdr:row>16</xdr:row>
      <xdr:rowOff>127000</xdr:rowOff>
    </xdr:to>
    <xdr:sp macro="" textlink="">
      <xdr:nvSpPr>
        <xdr:cNvPr id="224" name="OpenSolver223"/>
        <xdr:cNvSpPr/>
      </xdr:nvSpPr>
      <xdr:spPr>
        <a:xfrm>
          <a:off x="467677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15</xdr:row>
      <xdr:rowOff>0</xdr:rowOff>
    </xdr:from>
    <xdr:to>
      <xdr:col>12</xdr:col>
      <xdr:colOff>0</xdr:colOff>
      <xdr:row>16</xdr:row>
      <xdr:rowOff>0</xdr:rowOff>
    </xdr:to>
    <xdr:sp macro="" textlink="">
      <xdr:nvSpPr>
        <xdr:cNvPr id="225" name="OpenSolver224"/>
        <xdr:cNvSpPr/>
      </xdr:nvSpPr>
      <xdr:spPr>
        <a:xfrm>
          <a:off x="508000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12</xdr:col>
      <xdr:colOff>0</xdr:colOff>
      <xdr:row>17</xdr:row>
      <xdr:rowOff>0</xdr:rowOff>
    </xdr:to>
    <xdr:sp macro="" textlink="">
      <xdr:nvSpPr>
        <xdr:cNvPr id="226" name="OpenSolver225"/>
        <xdr:cNvSpPr/>
      </xdr:nvSpPr>
      <xdr:spPr>
        <a:xfrm>
          <a:off x="508000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212725</xdr:colOff>
      <xdr:row>16</xdr:row>
      <xdr:rowOff>0</xdr:rowOff>
    </xdr:from>
    <xdr:to>
      <xdr:col>11</xdr:col>
      <xdr:colOff>212725</xdr:colOff>
      <xdr:row>16</xdr:row>
      <xdr:rowOff>0</xdr:rowOff>
    </xdr:to>
    <xdr:cxnSp macro="">
      <xdr:nvCxnSpPr>
        <xdr:cNvPr id="227" name="OpenSolver226"/>
        <xdr:cNvCxnSpPr>
          <a:stCxn id="225" idx="2"/>
          <a:endCxn id="226" idx="0"/>
        </xdr:cNvCxnSpPr>
      </xdr:nvCxnSpPr>
      <xdr:spPr>
        <a:xfrm>
          <a:off x="5292725" y="28448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22225</xdr:colOff>
      <xdr:row>15</xdr:row>
      <xdr:rowOff>50800</xdr:rowOff>
    </xdr:from>
    <xdr:to>
      <xdr:col>11</xdr:col>
      <xdr:colOff>403225</xdr:colOff>
      <xdr:row>16</xdr:row>
      <xdr:rowOff>127000</xdr:rowOff>
    </xdr:to>
    <xdr:sp macro="" textlink="">
      <xdr:nvSpPr>
        <xdr:cNvPr id="228" name="OpenSolver227"/>
        <xdr:cNvSpPr/>
      </xdr:nvSpPr>
      <xdr:spPr>
        <a:xfrm>
          <a:off x="510222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229" name="OpenSolver228"/>
        <xdr:cNvSpPr/>
      </xdr:nvSpPr>
      <xdr:spPr>
        <a:xfrm>
          <a:off x="550545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17</xdr:row>
      <xdr:rowOff>0</xdr:rowOff>
    </xdr:to>
    <xdr:sp macro="" textlink="">
      <xdr:nvSpPr>
        <xdr:cNvPr id="230" name="OpenSolver229"/>
        <xdr:cNvSpPr/>
      </xdr:nvSpPr>
      <xdr:spPr>
        <a:xfrm>
          <a:off x="550545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12</xdr:col>
      <xdr:colOff>212725</xdr:colOff>
      <xdr:row>16</xdr:row>
      <xdr:rowOff>0</xdr:rowOff>
    </xdr:from>
    <xdr:to>
      <xdr:col>12</xdr:col>
      <xdr:colOff>212725</xdr:colOff>
      <xdr:row>16</xdr:row>
      <xdr:rowOff>0</xdr:rowOff>
    </xdr:to>
    <xdr:cxnSp macro="">
      <xdr:nvCxnSpPr>
        <xdr:cNvPr id="231" name="OpenSolver230"/>
        <xdr:cNvCxnSpPr>
          <a:stCxn id="229" idx="2"/>
          <a:endCxn id="230" idx="0"/>
        </xdr:cNvCxnSpPr>
      </xdr:nvCxnSpPr>
      <xdr:spPr>
        <a:xfrm>
          <a:off x="5718175" y="28448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22225</xdr:colOff>
      <xdr:row>15</xdr:row>
      <xdr:rowOff>50800</xdr:rowOff>
    </xdr:from>
    <xdr:to>
      <xdr:col>12</xdr:col>
      <xdr:colOff>403225</xdr:colOff>
      <xdr:row>16</xdr:row>
      <xdr:rowOff>127000</xdr:rowOff>
    </xdr:to>
    <xdr:sp macro="" textlink="">
      <xdr:nvSpPr>
        <xdr:cNvPr id="232" name="OpenSolver231"/>
        <xdr:cNvSpPr/>
      </xdr:nvSpPr>
      <xdr:spPr>
        <a:xfrm>
          <a:off x="552767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16</xdr:row>
      <xdr:rowOff>0</xdr:rowOff>
    </xdr:to>
    <xdr:sp macro="" textlink="">
      <xdr:nvSpPr>
        <xdr:cNvPr id="233" name="OpenSolver232"/>
        <xdr:cNvSpPr/>
      </xdr:nvSpPr>
      <xdr:spPr>
        <a:xfrm>
          <a:off x="593090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17</xdr:row>
      <xdr:rowOff>0</xdr:rowOff>
    </xdr:to>
    <xdr:sp macro="" textlink="">
      <xdr:nvSpPr>
        <xdr:cNvPr id="234" name="OpenSolver233"/>
        <xdr:cNvSpPr/>
      </xdr:nvSpPr>
      <xdr:spPr>
        <a:xfrm>
          <a:off x="593090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13</xdr:col>
      <xdr:colOff>212725</xdr:colOff>
      <xdr:row>16</xdr:row>
      <xdr:rowOff>0</xdr:rowOff>
    </xdr:from>
    <xdr:to>
      <xdr:col>13</xdr:col>
      <xdr:colOff>212725</xdr:colOff>
      <xdr:row>16</xdr:row>
      <xdr:rowOff>0</xdr:rowOff>
    </xdr:to>
    <xdr:cxnSp macro="">
      <xdr:nvCxnSpPr>
        <xdr:cNvPr id="235" name="OpenSolver234"/>
        <xdr:cNvCxnSpPr>
          <a:stCxn id="233" idx="2"/>
          <a:endCxn id="234" idx="0"/>
        </xdr:cNvCxnSpPr>
      </xdr:nvCxnSpPr>
      <xdr:spPr>
        <a:xfrm>
          <a:off x="6143625" y="28448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22225</xdr:colOff>
      <xdr:row>15</xdr:row>
      <xdr:rowOff>50800</xdr:rowOff>
    </xdr:from>
    <xdr:to>
      <xdr:col>13</xdr:col>
      <xdr:colOff>403225</xdr:colOff>
      <xdr:row>16</xdr:row>
      <xdr:rowOff>127000</xdr:rowOff>
    </xdr:to>
    <xdr:sp macro="" textlink="">
      <xdr:nvSpPr>
        <xdr:cNvPr id="236" name="OpenSolver235"/>
        <xdr:cNvSpPr/>
      </xdr:nvSpPr>
      <xdr:spPr>
        <a:xfrm>
          <a:off x="595312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237" name="OpenSolver236"/>
        <xdr:cNvSpPr/>
      </xdr:nvSpPr>
      <xdr:spPr>
        <a:xfrm>
          <a:off x="6356350" y="26670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</xdr:col>
      <xdr:colOff>0</xdr:colOff>
      <xdr:row>16</xdr:row>
      <xdr:rowOff>0</xdr:rowOff>
    </xdr:from>
    <xdr:to>
      <xdr:col>15</xdr:col>
      <xdr:colOff>0</xdr:colOff>
      <xdr:row>17</xdr:row>
      <xdr:rowOff>0</xdr:rowOff>
    </xdr:to>
    <xdr:sp macro="" textlink="">
      <xdr:nvSpPr>
        <xdr:cNvPr id="238" name="OpenSolver237"/>
        <xdr:cNvSpPr/>
      </xdr:nvSpPr>
      <xdr:spPr>
        <a:xfrm>
          <a:off x="6356350" y="2844800"/>
          <a:ext cx="425450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14</xdr:col>
      <xdr:colOff>212725</xdr:colOff>
      <xdr:row>16</xdr:row>
      <xdr:rowOff>0</xdr:rowOff>
    </xdr:from>
    <xdr:to>
      <xdr:col>14</xdr:col>
      <xdr:colOff>212725</xdr:colOff>
      <xdr:row>16</xdr:row>
      <xdr:rowOff>0</xdr:rowOff>
    </xdr:to>
    <xdr:cxnSp macro="">
      <xdr:nvCxnSpPr>
        <xdr:cNvPr id="239" name="OpenSolver238"/>
        <xdr:cNvCxnSpPr>
          <a:stCxn id="237" idx="2"/>
          <a:endCxn id="238" idx="0"/>
        </xdr:cNvCxnSpPr>
      </xdr:nvCxnSpPr>
      <xdr:spPr>
        <a:xfrm>
          <a:off x="6569075" y="284480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22225</xdr:colOff>
      <xdr:row>15</xdr:row>
      <xdr:rowOff>50800</xdr:rowOff>
    </xdr:from>
    <xdr:to>
      <xdr:col>14</xdr:col>
      <xdr:colOff>403225</xdr:colOff>
      <xdr:row>16</xdr:row>
      <xdr:rowOff>127000</xdr:rowOff>
    </xdr:to>
    <xdr:sp macro="" textlink="">
      <xdr:nvSpPr>
        <xdr:cNvPr id="240" name="OpenSolver239"/>
        <xdr:cNvSpPr/>
      </xdr:nvSpPr>
      <xdr:spPr>
        <a:xfrm>
          <a:off x="6378575" y="2717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41" name="OpenSolver240"/>
        <xdr:cNvSpPr/>
      </xdr:nvSpPr>
      <xdr:spPr>
        <a:xfrm>
          <a:off x="2952750" y="3022600"/>
          <a:ext cx="38290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18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242" name="OpenSolver241"/>
        <xdr:cNvSpPr/>
      </xdr:nvSpPr>
      <xdr:spPr>
        <a:xfrm>
          <a:off x="2952750" y="3200400"/>
          <a:ext cx="38290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212725</xdr:colOff>
      <xdr:row>18</xdr:row>
      <xdr:rowOff>0</xdr:rowOff>
    </xdr:from>
    <xdr:to>
      <xdr:col>10</xdr:col>
      <xdr:colOff>212725</xdr:colOff>
      <xdr:row>18</xdr:row>
      <xdr:rowOff>0</xdr:rowOff>
    </xdr:to>
    <xdr:cxnSp macro="">
      <xdr:nvCxnSpPr>
        <xdr:cNvPr id="243" name="OpenSolver242"/>
        <xdr:cNvCxnSpPr>
          <a:stCxn id="241" idx="2"/>
          <a:endCxn id="242" idx="0"/>
        </xdr:cNvCxnSpPr>
      </xdr:nvCxnSpPr>
      <xdr:spPr>
        <a:xfrm>
          <a:off x="4867275" y="32004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17</xdr:row>
      <xdr:rowOff>50800</xdr:rowOff>
    </xdr:from>
    <xdr:to>
      <xdr:col>10</xdr:col>
      <xdr:colOff>403225</xdr:colOff>
      <xdr:row>18</xdr:row>
      <xdr:rowOff>127000</xdr:rowOff>
    </xdr:to>
    <xdr:sp macro="" textlink="">
      <xdr:nvSpPr>
        <xdr:cNvPr id="244" name="OpenSolver243"/>
        <xdr:cNvSpPr/>
      </xdr:nvSpPr>
      <xdr:spPr>
        <a:xfrm>
          <a:off x="4676775" y="30734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15</xdr:col>
      <xdr:colOff>0</xdr:colOff>
      <xdr:row>20</xdr:row>
      <xdr:rowOff>0</xdr:rowOff>
    </xdr:to>
    <xdr:sp macro="" textlink="">
      <xdr:nvSpPr>
        <xdr:cNvPr id="245" name="OpenSolver244"/>
        <xdr:cNvSpPr/>
      </xdr:nvSpPr>
      <xdr:spPr>
        <a:xfrm>
          <a:off x="2952750" y="3378200"/>
          <a:ext cx="38290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246" name="OpenSolver245"/>
        <xdr:cNvSpPr/>
      </xdr:nvSpPr>
      <xdr:spPr>
        <a:xfrm>
          <a:off x="2952750" y="3556000"/>
          <a:ext cx="38290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212725</xdr:colOff>
      <xdr:row>20</xdr:row>
      <xdr:rowOff>0</xdr:rowOff>
    </xdr:from>
    <xdr:to>
      <xdr:col>10</xdr:col>
      <xdr:colOff>212725</xdr:colOff>
      <xdr:row>20</xdr:row>
      <xdr:rowOff>0</xdr:rowOff>
    </xdr:to>
    <xdr:cxnSp macro="">
      <xdr:nvCxnSpPr>
        <xdr:cNvPr id="247" name="OpenSolver246"/>
        <xdr:cNvCxnSpPr>
          <a:stCxn id="245" idx="2"/>
          <a:endCxn id="246" idx="0"/>
        </xdr:cNvCxnSpPr>
      </xdr:nvCxnSpPr>
      <xdr:spPr>
        <a:xfrm>
          <a:off x="4867275" y="35560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19</xdr:row>
      <xdr:rowOff>50800</xdr:rowOff>
    </xdr:from>
    <xdr:to>
      <xdr:col>10</xdr:col>
      <xdr:colOff>403225</xdr:colOff>
      <xdr:row>20</xdr:row>
      <xdr:rowOff>127000</xdr:rowOff>
    </xdr:to>
    <xdr:sp macro="" textlink="">
      <xdr:nvSpPr>
        <xdr:cNvPr id="248" name="OpenSolver247"/>
        <xdr:cNvSpPr/>
      </xdr:nvSpPr>
      <xdr:spPr>
        <a:xfrm>
          <a:off x="4676775" y="3429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21</xdr:row>
      <xdr:rowOff>0</xdr:rowOff>
    </xdr:from>
    <xdr:to>
      <xdr:col>15</xdr:col>
      <xdr:colOff>0</xdr:colOff>
      <xdr:row>22</xdr:row>
      <xdr:rowOff>0</xdr:rowOff>
    </xdr:to>
    <xdr:sp macro="" textlink="">
      <xdr:nvSpPr>
        <xdr:cNvPr id="249" name="OpenSolver248"/>
        <xdr:cNvSpPr/>
      </xdr:nvSpPr>
      <xdr:spPr>
        <a:xfrm>
          <a:off x="2952750" y="3733800"/>
          <a:ext cx="38290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15</xdr:col>
      <xdr:colOff>0</xdr:colOff>
      <xdr:row>23</xdr:row>
      <xdr:rowOff>0</xdr:rowOff>
    </xdr:to>
    <xdr:sp macro="" textlink="">
      <xdr:nvSpPr>
        <xdr:cNvPr id="250" name="OpenSolver249"/>
        <xdr:cNvSpPr/>
      </xdr:nvSpPr>
      <xdr:spPr>
        <a:xfrm>
          <a:off x="2952750" y="3911600"/>
          <a:ext cx="38290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212725</xdr:colOff>
      <xdr:row>22</xdr:row>
      <xdr:rowOff>0</xdr:rowOff>
    </xdr:from>
    <xdr:to>
      <xdr:col>10</xdr:col>
      <xdr:colOff>212725</xdr:colOff>
      <xdr:row>22</xdr:row>
      <xdr:rowOff>0</xdr:rowOff>
    </xdr:to>
    <xdr:cxnSp macro="">
      <xdr:nvCxnSpPr>
        <xdr:cNvPr id="251" name="OpenSolver250"/>
        <xdr:cNvCxnSpPr>
          <a:stCxn id="249" idx="2"/>
          <a:endCxn id="250" idx="0"/>
        </xdr:cNvCxnSpPr>
      </xdr:nvCxnSpPr>
      <xdr:spPr>
        <a:xfrm>
          <a:off x="4867275" y="39116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21</xdr:row>
      <xdr:rowOff>50800</xdr:rowOff>
    </xdr:from>
    <xdr:to>
      <xdr:col>10</xdr:col>
      <xdr:colOff>403225</xdr:colOff>
      <xdr:row>22</xdr:row>
      <xdr:rowOff>127000</xdr:rowOff>
    </xdr:to>
    <xdr:sp macro="" textlink="">
      <xdr:nvSpPr>
        <xdr:cNvPr id="252" name="OpenSolver251"/>
        <xdr:cNvSpPr/>
      </xdr:nvSpPr>
      <xdr:spPr>
        <a:xfrm>
          <a:off x="4676775" y="37846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53" name="OpenSolver252"/>
        <xdr:cNvSpPr/>
      </xdr:nvSpPr>
      <xdr:spPr>
        <a:xfrm>
          <a:off x="2952750" y="4089400"/>
          <a:ext cx="38290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0</xdr:colOff>
      <xdr:row>24</xdr:row>
      <xdr:rowOff>0</xdr:rowOff>
    </xdr:from>
    <xdr:to>
      <xdr:col>15</xdr:col>
      <xdr:colOff>0</xdr:colOff>
      <xdr:row>25</xdr:row>
      <xdr:rowOff>0</xdr:rowOff>
    </xdr:to>
    <xdr:sp macro="" textlink="">
      <xdr:nvSpPr>
        <xdr:cNvPr id="254" name="OpenSolver253"/>
        <xdr:cNvSpPr/>
      </xdr:nvSpPr>
      <xdr:spPr>
        <a:xfrm>
          <a:off x="2952750" y="4267200"/>
          <a:ext cx="38290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212725</xdr:colOff>
      <xdr:row>24</xdr:row>
      <xdr:rowOff>0</xdr:rowOff>
    </xdr:from>
    <xdr:to>
      <xdr:col>10</xdr:col>
      <xdr:colOff>212725</xdr:colOff>
      <xdr:row>24</xdr:row>
      <xdr:rowOff>0</xdr:rowOff>
    </xdr:to>
    <xdr:cxnSp macro="">
      <xdr:nvCxnSpPr>
        <xdr:cNvPr id="255" name="OpenSolver254"/>
        <xdr:cNvCxnSpPr>
          <a:stCxn id="253" idx="2"/>
          <a:endCxn id="254" idx="0"/>
        </xdr:cNvCxnSpPr>
      </xdr:nvCxnSpPr>
      <xdr:spPr>
        <a:xfrm>
          <a:off x="4867275" y="42672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23</xdr:row>
      <xdr:rowOff>50800</xdr:rowOff>
    </xdr:from>
    <xdr:to>
      <xdr:col>10</xdr:col>
      <xdr:colOff>403225</xdr:colOff>
      <xdr:row>24</xdr:row>
      <xdr:rowOff>127000</xdr:rowOff>
    </xdr:to>
    <xdr:sp macro="" textlink="">
      <xdr:nvSpPr>
        <xdr:cNvPr id="256" name="OpenSolver255"/>
        <xdr:cNvSpPr/>
      </xdr:nvSpPr>
      <xdr:spPr>
        <a:xfrm>
          <a:off x="4676775" y="41402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15</xdr:col>
      <xdr:colOff>0</xdr:colOff>
      <xdr:row>26</xdr:row>
      <xdr:rowOff>0</xdr:rowOff>
    </xdr:to>
    <xdr:sp macro="" textlink="">
      <xdr:nvSpPr>
        <xdr:cNvPr id="257" name="OpenSolver256"/>
        <xdr:cNvSpPr/>
      </xdr:nvSpPr>
      <xdr:spPr>
        <a:xfrm>
          <a:off x="2952750" y="4445000"/>
          <a:ext cx="38290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zh-CN" alt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15</xdr:col>
      <xdr:colOff>0</xdr:colOff>
      <xdr:row>27</xdr:row>
      <xdr:rowOff>0</xdr:rowOff>
    </xdr:to>
    <xdr:sp macro="" textlink="">
      <xdr:nvSpPr>
        <xdr:cNvPr id="258" name="OpenSolver257"/>
        <xdr:cNvSpPr/>
      </xdr:nvSpPr>
      <xdr:spPr>
        <a:xfrm>
          <a:off x="2952750" y="4622800"/>
          <a:ext cx="38290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zh-CN" alt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10</xdr:col>
      <xdr:colOff>212725</xdr:colOff>
      <xdr:row>26</xdr:row>
      <xdr:rowOff>0</xdr:rowOff>
    </xdr:from>
    <xdr:to>
      <xdr:col>10</xdr:col>
      <xdr:colOff>212725</xdr:colOff>
      <xdr:row>26</xdr:row>
      <xdr:rowOff>0</xdr:rowOff>
    </xdr:to>
    <xdr:cxnSp macro="">
      <xdr:nvCxnSpPr>
        <xdr:cNvPr id="259" name="OpenSolver258"/>
        <xdr:cNvCxnSpPr>
          <a:stCxn id="257" idx="2"/>
          <a:endCxn id="258" idx="0"/>
        </xdr:cNvCxnSpPr>
      </xdr:nvCxnSpPr>
      <xdr:spPr>
        <a:xfrm>
          <a:off x="4867275" y="46228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</xdr:colOff>
      <xdr:row>25</xdr:row>
      <xdr:rowOff>50800</xdr:rowOff>
    </xdr:from>
    <xdr:to>
      <xdr:col>10</xdr:col>
      <xdr:colOff>403225</xdr:colOff>
      <xdr:row>26</xdr:row>
      <xdr:rowOff>127000</xdr:rowOff>
    </xdr:to>
    <xdr:sp macro="" textlink="">
      <xdr:nvSpPr>
        <xdr:cNvPr id="260" name="OpenSolver259"/>
        <xdr:cNvSpPr/>
      </xdr:nvSpPr>
      <xdr:spPr>
        <a:xfrm>
          <a:off x="4676775" y="4495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12700</xdr:colOff>
      <xdr:row>5</xdr:row>
      <xdr:rowOff>12700</xdr:rowOff>
    </xdr:from>
    <xdr:to>
      <xdr:col>5</xdr:col>
      <xdr:colOff>99006</xdr:colOff>
      <xdr:row>5</xdr:row>
      <xdr:rowOff>127000</xdr:rowOff>
    </xdr:to>
    <xdr:sp macro="" textlink="">
      <xdr:nvSpPr>
        <xdr:cNvPr id="261" name="OpenSolver260"/>
        <xdr:cNvSpPr/>
      </xdr:nvSpPr>
      <xdr:spPr>
        <a:xfrm>
          <a:off x="25400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5</xdr:row>
      <xdr:rowOff>12700</xdr:rowOff>
    </xdr:from>
    <xdr:to>
      <xdr:col>6</xdr:col>
      <xdr:colOff>105356</xdr:colOff>
      <xdr:row>5</xdr:row>
      <xdr:rowOff>127000</xdr:rowOff>
    </xdr:to>
    <xdr:sp macro="" textlink="">
      <xdr:nvSpPr>
        <xdr:cNvPr id="262" name="OpenSolver261"/>
        <xdr:cNvSpPr/>
      </xdr:nvSpPr>
      <xdr:spPr>
        <a:xfrm>
          <a:off x="29718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5</xdr:row>
      <xdr:rowOff>12700</xdr:rowOff>
    </xdr:from>
    <xdr:to>
      <xdr:col>7</xdr:col>
      <xdr:colOff>99006</xdr:colOff>
      <xdr:row>5</xdr:row>
      <xdr:rowOff>127000</xdr:rowOff>
    </xdr:to>
    <xdr:sp macro="" textlink="">
      <xdr:nvSpPr>
        <xdr:cNvPr id="263" name="OpenSolver262"/>
        <xdr:cNvSpPr/>
      </xdr:nvSpPr>
      <xdr:spPr>
        <a:xfrm>
          <a:off x="33909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5</xdr:row>
      <xdr:rowOff>12700</xdr:rowOff>
    </xdr:from>
    <xdr:to>
      <xdr:col>8</xdr:col>
      <xdr:colOff>92656</xdr:colOff>
      <xdr:row>5</xdr:row>
      <xdr:rowOff>127000</xdr:rowOff>
    </xdr:to>
    <xdr:sp macro="" textlink="">
      <xdr:nvSpPr>
        <xdr:cNvPr id="264" name="OpenSolver263"/>
        <xdr:cNvSpPr/>
      </xdr:nvSpPr>
      <xdr:spPr>
        <a:xfrm>
          <a:off x="38100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5</xdr:row>
      <xdr:rowOff>12700</xdr:rowOff>
    </xdr:from>
    <xdr:to>
      <xdr:col>9</xdr:col>
      <xdr:colOff>99006</xdr:colOff>
      <xdr:row>5</xdr:row>
      <xdr:rowOff>127000</xdr:rowOff>
    </xdr:to>
    <xdr:sp macro="" textlink="">
      <xdr:nvSpPr>
        <xdr:cNvPr id="265" name="OpenSolver264"/>
        <xdr:cNvSpPr/>
      </xdr:nvSpPr>
      <xdr:spPr>
        <a:xfrm>
          <a:off x="42418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5</xdr:row>
      <xdr:rowOff>12700</xdr:rowOff>
    </xdr:from>
    <xdr:to>
      <xdr:col>10</xdr:col>
      <xdr:colOff>105356</xdr:colOff>
      <xdr:row>5</xdr:row>
      <xdr:rowOff>127000</xdr:rowOff>
    </xdr:to>
    <xdr:sp macro="" textlink="">
      <xdr:nvSpPr>
        <xdr:cNvPr id="266" name="OpenSolver265"/>
        <xdr:cNvSpPr/>
      </xdr:nvSpPr>
      <xdr:spPr>
        <a:xfrm>
          <a:off x="46736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5</xdr:row>
      <xdr:rowOff>12700</xdr:rowOff>
    </xdr:from>
    <xdr:to>
      <xdr:col>11</xdr:col>
      <xdr:colOff>99006</xdr:colOff>
      <xdr:row>5</xdr:row>
      <xdr:rowOff>127000</xdr:rowOff>
    </xdr:to>
    <xdr:sp macro="" textlink="">
      <xdr:nvSpPr>
        <xdr:cNvPr id="267" name="OpenSolver266"/>
        <xdr:cNvSpPr/>
      </xdr:nvSpPr>
      <xdr:spPr>
        <a:xfrm>
          <a:off x="50927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5</xdr:row>
      <xdr:rowOff>12700</xdr:rowOff>
    </xdr:from>
    <xdr:to>
      <xdr:col>12</xdr:col>
      <xdr:colOff>92656</xdr:colOff>
      <xdr:row>5</xdr:row>
      <xdr:rowOff>127000</xdr:rowOff>
    </xdr:to>
    <xdr:sp macro="" textlink="">
      <xdr:nvSpPr>
        <xdr:cNvPr id="268" name="OpenSolver267"/>
        <xdr:cNvSpPr/>
      </xdr:nvSpPr>
      <xdr:spPr>
        <a:xfrm>
          <a:off x="55118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5</xdr:row>
      <xdr:rowOff>12700</xdr:rowOff>
    </xdr:from>
    <xdr:to>
      <xdr:col>13</xdr:col>
      <xdr:colOff>99006</xdr:colOff>
      <xdr:row>5</xdr:row>
      <xdr:rowOff>127000</xdr:rowOff>
    </xdr:to>
    <xdr:sp macro="" textlink="">
      <xdr:nvSpPr>
        <xdr:cNvPr id="269" name="OpenSolver268"/>
        <xdr:cNvSpPr/>
      </xdr:nvSpPr>
      <xdr:spPr>
        <a:xfrm>
          <a:off x="59436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5</xdr:row>
      <xdr:rowOff>12700</xdr:rowOff>
    </xdr:from>
    <xdr:to>
      <xdr:col>14</xdr:col>
      <xdr:colOff>105356</xdr:colOff>
      <xdr:row>5</xdr:row>
      <xdr:rowOff>127000</xdr:rowOff>
    </xdr:to>
    <xdr:sp macro="" textlink="">
      <xdr:nvSpPr>
        <xdr:cNvPr id="270" name="OpenSolver269"/>
        <xdr:cNvSpPr/>
      </xdr:nvSpPr>
      <xdr:spPr>
        <a:xfrm>
          <a:off x="6375400" y="901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6</xdr:row>
      <xdr:rowOff>12700</xdr:rowOff>
    </xdr:from>
    <xdr:to>
      <xdr:col>5</xdr:col>
      <xdr:colOff>99006</xdr:colOff>
      <xdr:row>6</xdr:row>
      <xdr:rowOff>127000</xdr:rowOff>
    </xdr:to>
    <xdr:sp macro="" textlink="">
      <xdr:nvSpPr>
        <xdr:cNvPr id="271" name="OpenSolver270"/>
        <xdr:cNvSpPr/>
      </xdr:nvSpPr>
      <xdr:spPr>
        <a:xfrm>
          <a:off x="25400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6</xdr:row>
      <xdr:rowOff>12700</xdr:rowOff>
    </xdr:from>
    <xdr:to>
      <xdr:col>6</xdr:col>
      <xdr:colOff>105356</xdr:colOff>
      <xdr:row>6</xdr:row>
      <xdr:rowOff>127000</xdr:rowOff>
    </xdr:to>
    <xdr:sp macro="" textlink="">
      <xdr:nvSpPr>
        <xdr:cNvPr id="272" name="OpenSolver271"/>
        <xdr:cNvSpPr/>
      </xdr:nvSpPr>
      <xdr:spPr>
        <a:xfrm>
          <a:off x="29718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7</xdr:col>
      <xdr:colOff>99006</xdr:colOff>
      <xdr:row>6</xdr:row>
      <xdr:rowOff>127000</xdr:rowOff>
    </xdr:to>
    <xdr:sp macro="" textlink="">
      <xdr:nvSpPr>
        <xdr:cNvPr id="273" name="OpenSolver272"/>
        <xdr:cNvSpPr/>
      </xdr:nvSpPr>
      <xdr:spPr>
        <a:xfrm>
          <a:off x="33909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6</xdr:row>
      <xdr:rowOff>12700</xdr:rowOff>
    </xdr:from>
    <xdr:to>
      <xdr:col>8</xdr:col>
      <xdr:colOff>92656</xdr:colOff>
      <xdr:row>6</xdr:row>
      <xdr:rowOff>127000</xdr:rowOff>
    </xdr:to>
    <xdr:sp macro="" textlink="">
      <xdr:nvSpPr>
        <xdr:cNvPr id="274" name="OpenSolver273"/>
        <xdr:cNvSpPr/>
      </xdr:nvSpPr>
      <xdr:spPr>
        <a:xfrm>
          <a:off x="38100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9</xdr:col>
      <xdr:colOff>99006</xdr:colOff>
      <xdr:row>6</xdr:row>
      <xdr:rowOff>127000</xdr:rowOff>
    </xdr:to>
    <xdr:sp macro="" textlink="">
      <xdr:nvSpPr>
        <xdr:cNvPr id="275" name="OpenSolver274"/>
        <xdr:cNvSpPr/>
      </xdr:nvSpPr>
      <xdr:spPr>
        <a:xfrm>
          <a:off x="42418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6</xdr:row>
      <xdr:rowOff>12700</xdr:rowOff>
    </xdr:from>
    <xdr:to>
      <xdr:col>10</xdr:col>
      <xdr:colOff>105356</xdr:colOff>
      <xdr:row>6</xdr:row>
      <xdr:rowOff>127000</xdr:rowOff>
    </xdr:to>
    <xdr:sp macro="" textlink="">
      <xdr:nvSpPr>
        <xdr:cNvPr id="276" name="OpenSolver275"/>
        <xdr:cNvSpPr/>
      </xdr:nvSpPr>
      <xdr:spPr>
        <a:xfrm>
          <a:off x="46736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6</xdr:row>
      <xdr:rowOff>12700</xdr:rowOff>
    </xdr:from>
    <xdr:to>
      <xdr:col>11</xdr:col>
      <xdr:colOff>99006</xdr:colOff>
      <xdr:row>6</xdr:row>
      <xdr:rowOff>127000</xdr:rowOff>
    </xdr:to>
    <xdr:sp macro="" textlink="">
      <xdr:nvSpPr>
        <xdr:cNvPr id="277" name="OpenSolver276"/>
        <xdr:cNvSpPr/>
      </xdr:nvSpPr>
      <xdr:spPr>
        <a:xfrm>
          <a:off x="50927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6</xdr:row>
      <xdr:rowOff>12700</xdr:rowOff>
    </xdr:from>
    <xdr:to>
      <xdr:col>12</xdr:col>
      <xdr:colOff>92656</xdr:colOff>
      <xdr:row>6</xdr:row>
      <xdr:rowOff>127000</xdr:rowOff>
    </xdr:to>
    <xdr:sp macro="" textlink="">
      <xdr:nvSpPr>
        <xdr:cNvPr id="278" name="OpenSolver277"/>
        <xdr:cNvSpPr/>
      </xdr:nvSpPr>
      <xdr:spPr>
        <a:xfrm>
          <a:off x="55118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6</xdr:row>
      <xdr:rowOff>12700</xdr:rowOff>
    </xdr:from>
    <xdr:to>
      <xdr:col>13</xdr:col>
      <xdr:colOff>99006</xdr:colOff>
      <xdr:row>6</xdr:row>
      <xdr:rowOff>127000</xdr:rowOff>
    </xdr:to>
    <xdr:sp macro="" textlink="">
      <xdr:nvSpPr>
        <xdr:cNvPr id="279" name="OpenSolver278"/>
        <xdr:cNvSpPr/>
      </xdr:nvSpPr>
      <xdr:spPr>
        <a:xfrm>
          <a:off x="59436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6</xdr:row>
      <xdr:rowOff>12700</xdr:rowOff>
    </xdr:from>
    <xdr:to>
      <xdr:col>14</xdr:col>
      <xdr:colOff>105356</xdr:colOff>
      <xdr:row>6</xdr:row>
      <xdr:rowOff>127000</xdr:rowOff>
    </xdr:to>
    <xdr:sp macro="" textlink="">
      <xdr:nvSpPr>
        <xdr:cNvPr id="280" name="OpenSolver279"/>
        <xdr:cNvSpPr/>
      </xdr:nvSpPr>
      <xdr:spPr>
        <a:xfrm>
          <a:off x="6375400" y="1079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8</xdr:row>
      <xdr:rowOff>12700</xdr:rowOff>
    </xdr:from>
    <xdr:to>
      <xdr:col>5</xdr:col>
      <xdr:colOff>99006</xdr:colOff>
      <xdr:row>8</xdr:row>
      <xdr:rowOff>127000</xdr:rowOff>
    </xdr:to>
    <xdr:sp macro="" textlink="">
      <xdr:nvSpPr>
        <xdr:cNvPr id="281" name="OpenSolver280"/>
        <xdr:cNvSpPr/>
      </xdr:nvSpPr>
      <xdr:spPr>
        <a:xfrm>
          <a:off x="25400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8</xdr:row>
      <xdr:rowOff>12700</xdr:rowOff>
    </xdr:from>
    <xdr:to>
      <xdr:col>6</xdr:col>
      <xdr:colOff>105356</xdr:colOff>
      <xdr:row>8</xdr:row>
      <xdr:rowOff>127000</xdr:rowOff>
    </xdr:to>
    <xdr:sp macro="" textlink="">
      <xdr:nvSpPr>
        <xdr:cNvPr id="282" name="OpenSolver281"/>
        <xdr:cNvSpPr/>
      </xdr:nvSpPr>
      <xdr:spPr>
        <a:xfrm>
          <a:off x="29718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7</xdr:col>
      <xdr:colOff>99006</xdr:colOff>
      <xdr:row>8</xdr:row>
      <xdr:rowOff>127000</xdr:rowOff>
    </xdr:to>
    <xdr:sp macro="" textlink="">
      <xdr:nvSpPr>
        <xdr:cNvPr id="283" name="OpenSolver282"/>
        <xdr:cNvSpPr/>
      </xdr:nvSpPr>
      <xdr:spPr>
        <a:xfrm>
          <a:off x="33909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8</xdr:row>
      <xdr:rowOff>12700</xdr:rowOff>
    </xdr:from>
    <xdr:to>
      <xdr:col>8</xdr:col>
      <xdr:colOff>92656</xdr:colOff>
      <xdr:row>8</xdr:row>
      <xdr:rowOff>127000</xdr:rowOff>
    </xdr:to>
    <xdr:sp macro="" textlink="">
      <xdr:nvSpPr>
        <xdr:cNvPr id="284" name="OpenSolver283"/>
        <xdr:cNvSpPr/>
      </xdr:nvSpPr>
      <xdr:spPr>
        <a:xfrm>
          <a:off x="38100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9</xdr:col>
      <xdr:colOff>99006</xdr:colOff>
      <xdr:row>8</xdr:row>
      <xdr:rowOff>127000</xdr:rowOff>
    </xdr:to>
    <xdr:sp macro="" textlink="">
      <xdr:nvSpPr>
        <xdr:cNvPr id="285" name="OpenSolver284"/>
        <xdr:cNvSpPr/>
      </xdr:nvSpPr>
      <xdr:spPr>
        <a:xfrm>
          <a:off x="42418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8</xdr:row>
      <xdr:rowOff>12700</xdr:rowOff>
    </xdr:from>
    <xdr:to>
      <xdr:col>10</xdr:col>
      <xdr:colOff>105356</xdr:colOff>
      <xdr:row>8</xdr:row>
      <xdr:rowOff>127000</xdr:rowOff>
    </xdr:to>
    <xdr:sp macro="" textlink="">
      <xdr:nvSpPr>
        <xdr:cNvPr id="286" name="OpenSolver285"/>
        <xdr:cNvSpPr/>
      </xdr:nvSpPr>
      <xdr:spPr>
        <a:xfrm>
          <a:off x="46736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11</xdr:col>
      <xdr:colOff>99006</xdr:colOff>
      <xdr:row>8</xdr:row>
      <xdr:rowOff>127000</xdr:rowOff>
    </xdr:to>
    <xdr:sp macro="" textlink="">
      <xdr:nvSpPr>
        <xdr:cNvPr id="287" name="OpenSolver286"/>
        <xdr:cNvSpPr/>
      </xdr:nvSpPr>
      <xdr:spPr>
        <a:xfrm>
          <a:off x="50927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8</xdr:row>
      <xdr:rowOff>12700</xdr:rowOff>
    </xdr:from>
    <xdr:to>
      <xdr:col>12</xdr:col>
      <xdr:colOff>92656</xdr:colOff>
      <xdr:row>8</xdr:row>
      <xdr:rowOff>127000</xdr:rowOff>
    </xdr:to>
    <xdr:sp macro="" textlink="">
      <xdr:nvSpPr>
        <xdr:cNvPr id="288" name="OpenSolver287"/>
        <xdr:cNvSpPr/>
      </xdr:nvSpPr>
      <xdr:spPr>
        <a:xfrm>
          <a:off x="55118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8</xdr:row>
      <xdr:rowOff>12700</xdr:rowOff>
    </xdr:from>
    <xdr:to>
      <xdr:col>13</xdr:col>
      <xdr:colOff>99006</xdr:colOff>
      <xdr:row>8</xdr:row>
      <xdr:rowOff>127000</xdr:rowOff>
    </xdr:to>
    <xdr:sp macro="" textlink="">
      <xdr:nvSpPr>
        <xdr:cNvPr id="289" name="OpenSolver288"/>
        <xdr:cNvSpPr/>
      </xdr:nvSpPr>
      <xdr:spPr>
        <a:xfrm>
          <a:off x="59436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8</xdr:row>
      <xdr:rowOff>12700</xdr:rowOff>
    </xdr:from>
    <xdr:to>
      <xdr:col>14</xdr:col>
      <xdr:colOff>105356</xdr:colOff>
      <xdr:row>8</xdr:row>
      <xdr:rowOff>127000</xdr:rowOff>
    </xdr:to>
    <xdr:sp macro="" textlink="">
      <xdr:nvSpPr>
        <xdr:cNvPr id="290" name="OpenSolver289"/>
        <xdr:cNvSpPr/>
      </xdr:nvSpPr>
      <xdr:spPr>
        <a:xfrm>
          <a:off x="6375400" y="1435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9</xdr:row>
      <xdr:rowOff>12700</xdr:rowOff>
    </xdr:from>
    <xdr:to>
      <xdr:col>5</xdr:col>
      <xdr:colOff>99006</xdr:colOff>
      <xdr:row>9</xdr:row>
      <xdr:rowOff>127000</xdr:rowOff>
    </xdr:to>
    <xdr:sp macro="" textlink="">
      <xdr:nvSpPr>
        <xdr:cNvPr id="291" name="OpenSolver290"/>
        <xdr:cNvSpPr/>
      </xdr:nvSpPr>
      <xdr:spPr>
        <a:xfrm>
          <a:off x="25400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9</xdr:row>
      <xdr:rowOff>12700</xdr:rowOff>
    </xdr:from>
    <xdr:to>
      <xdr:col>6</xdr:col>
      <xdr:colOff>105356</xdr:colOff>
      <xdr:row>9</xdr:row>
      <xdr:rowOff>127000</xdr:rowOff>
    </xdr:to>
    <xdr:sp macro="" textlink="">
      <xdr:nvSpPr>
        <xdr:cNvPr id="292" name="OpenSolver291"/>
        <xdr:cNvSpPr/>
      </xdr:nvSpPr>
      <xdr:spPr>
        <a:xfrm>
          <a:off x="29718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9</xdr:row>
      <xdr:rowOff>12700</xdr:rowOff>
    </xdr:from>
    <xdr:to>
      <xdr:col>7</xdr:col>
      <xdr:colOff>99006</xdr:colOff>
      <xdr:row>9</xdr:row>
      <xdr:rowOff>127000</xdr:rowOff>
    </xdr:to>
    <xdr:sp macro="" textlink="">
      <xdr:nvSpPr>
        <xdr:cNvPr id="293" name="OpenSolver292"/>
        <xdr:cNvSpPr/>
      </xdr:nvSpPr>
      <xdr:spPr>
        <a:xfrm>
          <a:off x="33909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9</xdr:row>
      <xdr:rowOff>12700</xdr:rowOff>
    </xdr:from>
    <xdr:to>
      <xdr:col>8</xdr:col>
      <xdr:colOff>92656</xdr:colOff>
      <xdr:row>9</xdr:row>
      <xdr:rowOff>127000</xdr:rowOff>
    </xdr:to>
    <xdr:sp macro="" textlink="">
      <xdr:nvSpPr>
        <xdr:cNvPr id="294" name="OpenSolver293"/>
        <xdr:cNvSpPr/>
      </xdr:nvSpPr>
      <xdr:spPr>
        <a:xfrm>
          <a:off x="38100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9</xdr:row>
      <xdr:rowOff>12700</xdr:rowOff>
    </xdr:from>
    <xdr:to>
      <xdr:col>9</xdr:col>
      <xdr:colOff>99006</xdr:colOff>
      <xdr:row>9</xdr:row>
      <xdr:rowOff>127000</xdr:rowOff>
    </xdr:to>
    <xdr:sp macro="" textlink="">
      <xdr:nvSpPr>
        <xdr:cNvPr id="295" name="OpenSolver294"/>
        <xdr:cNvSpPr/>
      </xdr:nvSpPr>
      <xdr:spPr>
        <a:xfrm>
          <a:off x="42418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9</xdr:row>
      <xdr:rowOff>12700</xdr:rowOff>
    </xdr:from>
    <xdr:to>
      <xdr:col>10</xdr:col>
      <xdr:colOff>105356</xdr:colOff>
      <xdr:row>9</xdr:row>
      <xdr:rowOff>127000</xdr:rowOff>
    </xdr:to>
    <xdr:sp macro="" textlink="">
      <xdr:nvSpPr>
        <xdr:cNvPr id="296" name="OpenSolver295"/>
        <xdr:cNvSpPr/>
      </xdr:nvSpPr>
      <xdr:spPr>
        <a:xfrm>
          <a:off x="46736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9</xdr:row>
      <xdr:rowOff>12700</xdr:rowOff>
    </xdr:from>
    <xdr:to>
      <xdr:col>11</xdr:col>
      <xdr:colOff>99006</xdr:colOff>
      <xdr:row>9</xdr:row>
      <xdr:rowOff>127000</xdr:rowOff>
    </xdr:to>
    <xdr:sp macro="" textlink="">
      <xdr:nvSpPr>
        <xdr:cNvPr id="297" name="OpenSolver296"/>
        <xdr:cNvSpPr/>
      </xdr:nvSpPr>
      <xdr:spPr>
        <a:xfrm>
          <a:off x="50927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9</xdr:row>
      <xdr:rowOff>12700</xdr:rowOff>
    </xdr:from>
    <xdr:to>
      <xdr:col>12</xdr:col>
      <xdr:colOff>92656</xdr:colOff>
      <xdr:row>9</xdr:row>
      <xdr:rowOff>127000</xdr:rowOff>
    </xdr:to>
    <xdr:sp macro="" textlink="">
      <xdr:nvSpPr>
        <xdr:cNvPr id="298" name="OpenSolver297"/>
        <xdr:cNvSpPr/>
      </xdr:nvSpPr>
      <xdr:spPr>
        <a:xfrm>
          <a:off x="55118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9</xdr:row>
      <xdr:rowOff>12700</xdr:rowOff>
    </xdr:from>
    <xdr:to>
      <xdr:col>13</xdr:col>
      <xdr:colOff>99006</xdr:colOff>
      <xdr:row>9</xdr:row>
      <xdr:rowOff>127000</xdr:rowOff>
    </xdr:to>
    <xdr:sp macro="" textlink="">
      <xdr:nvSpPr>
        <xdr:cNvPr id="299" name="OpenSolver298"/>
        <xdr:cNvSpPr/>
      </xdr:nvSpPr>
      <xdr:spPr>
        <a:xfrm>
          <a:off x="59436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9</xdr:row>
      <xdr:rowOff>12700</xdr:rowOff>
    </xdr:from>
    <xdr:to>
      <xdr:col>14</xdr:col>
      <xdr:colOff>105356</xdr:colOff>
      <xdr:row>9</xdr:row>
      <xdr:rowOff>127000</xdr:rowOff>
    </xdr:to>
    <xdr:sp macro="" textlink="">
      <xdr:nvSpPr>
        <xdr:cNvPr id="300" name="OpenSolver299"/>
        <xdr:cNvSpPr/>
      </xdr:nvSpPr>
      <xdr:spPr>
        <a:xfrm>
          <a:off x="6375400" y="1612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11</xdr:row>
      <xdr:rowOff>12700</xdr:rowOff>
    </xdr:from>
    <xdr:to>
      <xdr:col>5</xdr:col>
      <xdr:colOff>99006</xdr:colOff>
      <xdr:row>11</xdr:row>
      <xdr:rowOff>127000</xdr:rowOff>
    </xdr:to>
    <xdr:sp macro="" textlink="">
      <xdr:nvSpPr>
        <xdr:cNvPr id="301" name="OpenSolver300"/>
        <xdr:cNvSpPr/>
      </xdr:nvSpPr>
      <xdr:spPr>
        <a:xfrm>
          <a:off x="25400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11</xdr:row>
      <xdr:rowOff>12700</xdr:rowOff>
    </xdr:from>
    <xdr:to>
      <xdr:col>6</xdr:col>
      <xdr:colOff>105356</xdr:colOff>
      <xdr:row>11</xdr:row>
      <xdr:rowOff>127000</xdr:rowOff>
    </xdr:to>
    <xdr:sp macro="" textlink="">
      <xdr:nvSpPr>
        <xdr:cNvPr id="302" name="OpenSolver301"/>
        <xdr:cNvSpPr/>
      </xdr:nvSpPr>
      <xdr:spPr>
        <a:xfrm>
          <a:off x="29718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11</xdr:row>
      <xdr:rowOff>12700</xdr:rowOff>
    </xdr:from>
    <xdr:to>
      <xdr:col>7</xdr:col>
      <xdr:colOff>99006</xdr:colOff>
      <xdr:row>11</xdr:row>
      <xdr:rowOff>127000</xdr:rowOff>
    </xdr:to>
    <xdr:sp macro="" textlink="">
      <xdr:nvSpPr>
        <xdr:cNvPr id="303" name="OpenSolver302"/>
        <xdr:cNvSpPr/>
      </xdr:nvSpPr>
      <xdr:spPr>
        <a:xfrm>
          <a:off x="33909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11</xdr:row>
      <xdr:rowOff>12700</xdr:rowOff>
    </xdr:from>
    <xdr:to>
      <xdr:col>8</xdr:col>
      <xdr:colOff>92656</xdr:colOff>
      <xdr:row>11</xdr:row>
      <xdr:rowOff>127000</xdr:rowOff>
    </xdr:to>
    <xdr:sp macro="" textlink="">
      <xdr:nvSpPr>
        <xdr:cNvPr id="304" name="OpenSolver303"/>
        <xdr:cNvSpPr/>
      </xdr:nvSpPr>
      <xdr:spPr>
        <a:xfrm>
          <a:off x="38100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11</xdr:row>
      <xdr:rowOff>12700</xdr:rowOff>
    </xdr:from>
    <xdr:to>
      <xdr:col>9</xdr:col>
      <xdr:colOff>99006</xdr:colOff>
      <xdr:row>11</xdr:row>
      <xdr:rowOff>127000</xdr:rowOff>
    </xdr:to>
    <xdr:sp macro="" textlink="">
      <xdr:nvSpPr>
        <xdr:cNvPr id="305" name="OpenSolver304"/>
        <xdr:cNvSpPr/>
      </xdr:nvSpPr>
      <xdr:spPr>
        <a:xfrm>
          <a:off x="42418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11</xdr:row>
      <xdr:rowOff>12700</xdr:rowOff>
    </xdr:from>
    <xdr:to>
      <xdr:col>10</xdr:col>
      <xdr:colOff>105356</xdr:colOff>
      <xdr:row>11</xdr:row>
      <xdr:rowOff>127000</xdr:rowOff>
    </xdr:to>
    <xdr:sp macro="" textlink="">
      <xdr:nvSpPr>
        <xdr:cNvPr id="306" name="OpenSolver305"/>
        <xdr:cNvSpPr/>
      </xdr:nvSpPr>
      <xdr:spPr>
        <a:xfrm>
          <a:off x="46736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11</xdr:row>
      <xdr:rowOff>12700</xdr:rowOff>
    </xdr:from>
    <xdr:to>
      <xdr:col>11</xdr:col>
      <xdr:colOff>99006</xdr:colOff>
      <xdr:row>11</xdr:row>
      <xdr:rowOff>127000</xdr:rowOff>
    </xdr:to>
    <xdr:sp macro="" textlink="">
      <xdr:nvSpPr>
        <xdr:cNvPr id="307" name="OpenSolver306"/>
        <xdr:cNvSpPr/>
      </xdr:nvSpPr>
      <xdr:spPr>
        <a:xfrm>
          <a:off x="50927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11</xdr:row>
      <xdr:rowOff>12700</xdr:rowOff>
    </xdr:from>
    <xdr:to>
      <xdr:col>12</xdr:col>
      <xdr:colOff>92656</xdr:colOff>
      <xdr:row>11</xdr:row>
      <xdr:rowOff>127000</xdr:rowOff>
    </xdr:to>
    <xdr:sp macro="" textlink="">
      <xdr:nvSpPr>
        <xdr:cNvPr id="308" name="OpenSolver307"/>
        <xdr:cNvSpPr/>
      </xdr:nvSpPr>
      <xdr:spPr>
        <a:xfrm>
          <a:off x="55118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11</xdr:row>
      <xdr:rowOff>12700</xdr:rowOff>
    </xdr:from>
    <xdr:to>
      <xdr:col>13</xdr:col>
      <xdr:colOff>99006</xdr:colOff>
      <xdr:row>11</xdr:row>
      <xdr:rowOff>127000</xdr:rowOff>
    </xdr:to>
    <xdr:sp macro="" textlink="">
      <xdr:nvSpPr>
        <xdr:cNvPr id="309" name="OpenSolver308"/>
        <xdr:cNvSpPr/>
      </xdr:nvSpPr>
      <xdr:spPr>
        <a:xfrm>
          <a:off x="59436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11</xdr:row>
      <xdr:rowOff>12700</xdr:rowOff>
    </xdr:from>
    <xdr:to>
      <xdr:col>14</xdr:col>
      <xdr:colOff>105356</xdr:colOff>
      <xdr:row>11</xdr:row>
      <xdr:rowOff>127000</xdr:rowOff>
    </xdr:to>
    <xdr:sp macro="" textlink="">
      <xdr:nvSpPr>
        <xdr:cNvPr id="310" name="OpenSolver309"/>
        <xdr:cNvSpPr/>
      </xdr:nvSpPr>
      <xdr:spPr>
        <a:xfrm>
          <a:off x="6375400" y="1968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12</xdr:row>
      <xdr:rowOff>12700</xdr:rowOff>
    </xdr:from>
    <xdr:to>
      <xdr:col>5</xdr:col>
      <xdr:colOff>99006</xdr:colOff>
      <xdr:row>12</xdr:row>
      <xdr:rowOff>127000</xdr:rowOff>
    </xdr:to>
    <xdr:sp macro="" textlink="">
      <xdr:nvSpPr>
        <xdr:cNvPr id="311" name="OpenSolver310"/>
        <xdr:cNvSpPr/>
      </xdr:nvSpPr>
      <xdr:spPr>
        <a:xfrm>
          <a:off x="25400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12</xdr:row>
      <xdr:rowOff>12700</xdr:rowOff>
    </xdr:from>
    <xdr:to>
      <xdr:col>6</xdr:col>
      <xdr:colOff>105356</xdr:colOff>
      <xdr:row>12</xdr:row>
      <xdr:rowOff>127000</xdr:rowOff>
    </xdr:to>
    <xdr:sp macro="" textlink="">
      <xdr:nvSpPr>
        <xdr:cNvPr id="312" name="OpenSolver311"/>
        <xdr:cNvSpPr/>
      </xdr:nvSpPr>
      <xdr:spPr>
        <a:xfrm>
          <a:off x="29718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12</xdr:row>
      <xdr:rowOff>12700</xdr:rowOff>
    </xdr:from>
    <xdr:to>
      <xdr:col>7</xdr:col>
      <xdr:colOff>99006</xdr:colOff>
      <xdr:row>12</xdr:row>
      <xdr:rowOff>127000</xdr:rowOff>
    </xdr:to>
    <xdr:sp macro="" textlink="">
      <xdr:nvSpPr>
        <xdr:cNvPr id="313" name="OpenSolver312"/>
        <xdr:cNvSpPr/>
      </xdr:nvSpPr>
      <xdr:spPr>
        <a:xfrm>
          <a:off x="33909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12</xdr:row>
      <xdr:rowOff>12700</xdr:rowOff>
    </xdr:from>
    <xdr:to>
      <xdr:col>8</xdr:col>
      <xdr:colOff>92656</xdr:colOff>
      <xdr:row>12</xdr:row>
      <xdr:rowOff>127000</xdr:rowOff>
    </xdr:to>
    <xdr:sp macro="" textlink="">
      <xdr:nvSpPr>
        <xdr:cNvPr id="314" name="OpenSolver313"/>
        <xdr:cNvSpPr/>
      </xdr:nvSpPr>
      <xdr:spPr>
        <a:xfrm>
          <a:off x="38100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12</xdr:row>
      <xdr:rowOff>12700</xdr:rowOff>
    </xdr:from>
    <xdr:to>
      <xdr:col>9</xdr:col>
      <xdr:colOff>99006</xdr:colOff>
      <xdr:row>12</xdr:row>
      <xdr:rowOff>127000</xdr:rowOff>
    </xdr:to>
    <xdr:sp macro="" textlink="">
      <xdr:nvSpPr>
        <xdr:cNvPr id="315" name="OpenSolver314"/>
        <xdr:cNvSpPr/>
      </xdr:nvSpPr>
      <xdr:spPr>
        <a:xfrm>
          <a:off x="42418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12</xdr:row>
      <xdr:rowOff>12700</xdr:rowOff>
    </xdr:from>
    <xdr:to>
      <xdr:col>10</xdr:col>
      <xdr:colOff>105356</xdr:colOff>
      <xdr:row>12</xdr:row>
      <xdr:rowOff>127000</xdr:rowOff>
    </xdr:to>
    <xdr:sp macro="" textlink="">
      <xdr:nvSpPr>
        <xdr:cNvPr id="316" name="OpenSolver315"/>
        <xdr:cNvSpPr/>
      </xdr:nvSpPr>
      <xdr:spPr>
        <a:xfrm>
          <a:off x="46736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12</xdr:row>
      <xdr:rowOff>12700</xdr:rowOff>
    </xdr:from>
    <xdr:to>
      <xdr:col>11</xdr:col>
      <xdr:colOff>99006</xdr:colOff>
      <xdr:row>12</xdr:row>
      <xdr:rowOff>127000</xdr:rowOff>
    </xdr:to>
    <xdr:sp macro="" textlink="">
      <xdr:nvSpPr>
        <xdr:cNvPr id="317" name="OpenSolver316"/>
        <xdr:cNvSpPr/>
      </xdr:nvSpPr>
      <xdr:spPr>
        <a:xfrm>
          <a:off x="50927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12</xdr:row>
      <xdr:rowOff>12700</xdr:rowOff>
    </xdr:from>
    <xdr:to>
      <xdr:col>12</xdr:col>
      <xdr:colOff>92656</xdr:colOff>
      <xdr:row>12</xdr:row>
      <xdr:rowOff>127000</xdr:rowOff>
    </xdr:to>
    <xdr:sp macro="" textlink="">
      <xdr:nvSpPr>
        <xdr:cNvPr id="318" name="OpenSolver317"/>
        <xdr:cNvSpPr/>
      </xdr:nvSpPr>
      <xdr:spPr>
        <a:xfrm>
          <a:off x="55118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12</xdr:row>
      <xdr:rowOff>12700</xdr:rowOff>
    </xdr:from>
    <xdr:to>
      <xdr:col>13</xdr:col>
      <xdr:colOff>99006</xdr:colOff>
      <xdr:row>12</xdr:row>
      <xdr:rowOff>127000</xdr:rowOff>
    </xdr:to>
    <xdr:sp macro="" textlink="">
      <xdr:nvSpPr>
        <xdr:cNvPr id="319" name="OpenSolver318"/>
        <xdr:cNvSpPr/>
      </xdr:nvSpPr>
      <xdr:spPr>
        <a:xfrm>
          <a:off x="59436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12</xdr:row>
      <xdr:rowOff>12700</xdr:rowOff>
    </xdr:from>
    <xdr:to>
      <xdr:col>14</xdr:col>
      <xdr:colOff>105356</xdr:colOff>
      <xdr:row>12</xdr:row>
      <xdr:rowOff>127000</xdr:rowOff>
    </xdr:to>
    <xdr:sp macro="" textlink="">
      <xdr:nvSpPr>
        <xdr:cNvPr id="320" name="OpenSolver319"/>
        <xdr:cNvSpPr/>
      </xdr:nvSpPr>
      <xdr:spPr>
        <a:xfrm>
          <a:off x="6375400" y="2146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16</xdr:row>
      <xdr:rowOff>12700</xdr:rowOff>
    </xdr:from>
    <xdr:to>
      <xdr:col>5</xdr:col>
      <xdr:colOff>99006</xdr:colOff>
      <xdr:row>16</xdr:row>
      <xdr:rowOff>127000</xdr:rowOff>
    </xdr:to>
    <xdr:sp macro="" textlink="">
      <xdr:nvSpPr>
        <xdr:cNvPr id="321" name="OpenSolver320"/>
        <xdr:cNvSpPr/>
      </xdr:nvSpPr>
      <xdr:spPr>
        <a:xfrm>
          <a:off x="25400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16</xdr:row>
      <xdr:rowOff>12700</xdr:rowOff>
    </xdr:from>
    <xdr:to>
      <xdr:col>6</xdr:col>
      <xdr:colOff>105356</xdr:colOff>
      <xdr:row>16</xdr:row>
      <xdr:rowOff>127000</xdr:rowOff>
    </xdr:to>
    <xdr:sp macro="" textlink="">
      <xdr:nvSpPr>
        <xdr:cNvPr id="322" name="OpenSolver321"/>
        <xdr:cNvSpPr/>
      </xdr:nvSpPr>
      <xdr:spPr>
        <a:xfrm>
          <a:off x="29718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16</xdr:row>
      <xdr:rowOff>12700</xdr:rowOff>
    </xdr:from>
    <xdr:to>
      <xdr:col>7</xdr:col>
      <xdr:colOff>99006</xdr:colOff>
      <xdr:row>16</xdr:row>
      <xdr:rowOff>127000</xdr:rowOff>
    </xdr:to>
    <xdr:sp macro="" textlink="">
      <xdr:nvSpPr>
        <xdr:cNvPr id="323" name="OpenSolver322"/>
        <xdr:cNvSpPr/>
      </xdr:nvSpPr>
      <xdr:spPr>
        <a:xfrm>
          <a:off x="33909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16</xdr:row>
      <xdr:rowOff>12700</xdr:rowOff>
    </xdr:from>
    <xdr:to>
      <xdr:col>8</xdr:col>
      <xdr:colOff>92656</xdr:colOff>
      <xdr:row>16</xdr:row>
      <xdr:rowOff>127000</xdr:rowOff>
    </xdr:to>
    <xdr:sp macro="" textlink="">
      <xdr:nvSpPr>
        <xdr:cNvPr id="324" name="OpenSolver323"/>
        <xdr:cNvSpPr/>
      </xdr:nvSpPr>
      <xdr:spPr>
        <a:xfrm>
          <a:off x="38100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16</xdr:row>
      <xdr:rowOff>12700</xdr:rowOff>
    </xdr:from>
    <xdr:to>
      <xdr:col>9</xdr:col>
      <xdr:colOff>99006</xdr:colOff>
      <xdr:row>16</xdr:row>
      <xdr:rowOff>127000</xdr:rowOff>
    </xdr:to>
    <xdr:sp macro="" textlink="">
      <xdr:nvSpPr>
        <xdr:cNvPr id="325" name="OpenSolver324"/>
        <xdr:cNvSpPr/>
      </xdr:nvSpPr>
      <xdr:spPr>
        <a:xfrm>
          <a:off x="42418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16</xdr:row>
      <xdr:rowOff>12700</xdr:rowOff>
    </xdr:from>
    <xdr:to>
      <xdr:col>10</xdr:col>
      <xdr:colOff>105356</xdr:colOff>
      <xdr:row>16</xdr:row>
      <xdr:rowOff>127000</xdr:rowOff>
    </xdr:to>
    <xdr:sp macro="" textlink="">
      <xdr:nvSpPr>
        <xdr:cNvPr id="326" name="OpenSolver325"/>
        <xdr:cNvSpPr/>
      </xdr:nvSpPr>
      <xdr:spPr>
        <a:xfrm>
          <a:off x="46736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16</xdr:row>
      <xdr:rowOff>12700</xdr:rowOff>
    </xdr:from>
    <xdr:to>
      <xdr:col>11</xdr:col>
      <xdr:colOff>99006</xdr:colOff>
      <xdr:row>16</xdr:row>
      <xdr:rowOff>127000</xdr:rowOff>
    </xdr:to>
    <xdr:sp macro="" textlink="">
      <xdr:nvSpPr>
        <xdr:cNvPr id="327" name="OpenSolver326"/>
        <xdr:cNvSpPr/>
      </xdr:nvSpPr>
      <xdr:spPr>
        <a:xfrm>
          <a:off x="50927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16</xdr:row>
      <xdr:rowOff>12700</xdr:rowOff>
    </xdr:from>
    <xdr:to>
      <xdr:col>12</xdr:col>
      <xdr:colOff>92656</xdr:colOff>
      <xdr:row>16</xdr:row>
      <xdr:rowOff>127000</xdr:rowOff>
    </xdr:to>
    <xdr:sp macro="" textlink="">
      <xdr:nvSpPr>
        <xdr:cNvPr id="328" name="OpenSolver327"/>
        <xdr:cNvSpPr/>
      </xdr:nvSpPr>
      <xdr:spPr>
        <a:xfrm>
          <a:off x="55118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16</xdr:row>
      <xdr:rowOff>12700</xdr:rowOff>
    </xdr:from>
    <xdr:to>
      <xdr:col>13</xdr:col>
      <xdr:colOff>99006</xdr:colOff>
      <xdr:row>16</xdr:row>
      <xdr:rowOff>127000</xdr:rowOff>
    </xdr:to>
    <xdr:sp macro="" textlink="">
      <xdr:nvSpPr>
        <xdr:cNvPr id="329" name="OpenSolver328"/>
        <xdr:cNvSpPr/>
      </xdr:nvSpPr>
      <xdr:spPr>
        <a:xfrm>
          <a:off x="59436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16</xdr:row>
      <xdr:rowOff>12700</xdr:rowOff>
    </xdr:from>
    <xdr:to>
      <xdr:col>14</xdr:col>
      <xdr:colOff>105356</xdr:colOff>
      <xdr:row>16</xdr:row>
      <xdr:rowOff>127000</xdr:rowOff>
    </xdr:to>
    <xdr:sp macro="" textlink="">
      <xdr:nvSpPr>
        <xdr:cNvPr id="330" name="OpenSolver329"/>
        <xdr:cNvSpPr/>
      </xdr:nvSpPr>
      <xdr:spPr>
        <a:xfrm>
          <a:off x="6375400" y="2857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18</xdr:row>
      <xdr:rowOff>12700</xdr:rowOff>
    </xdr:from>
    <xdr:to>
      <xdr:col>5</xdr:col>
      <xdr:colOff>99006</xdr:colOff>
      <xdr:row>18</xdr:row>
      <xdr:rowOff>127000</xdr:rowOff>
    </xdr:to>
    <xdr:sp macro="" textlink="">
      <xdr:nvSpPr>
        <xdr:cNvPr id="331" name="OpenSolver330"/>
        <xdr:cNvSpPr/>
      </xdr:nvSpPr>
      <xdr:spPr>
        <a:xfrm>
          <a:off x="25400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18</xdr:row>
      <xdr:rowOff>12700</xdr:rowOff>
    </xdr:from>
    <xdr:to>
      <xdr:col>6</xdr:col>
      <xdr:colOff>105356</xdr:colOff>
      <xdr:row>18</xdr:row>
      <xdr:rowOff>127000</xdr:rowOff>
    </xdr:to>
    <xdr:sp macro="" textlink="">
      <xdr:nvSpPr>
        <xdr:cNvPr id="332" name="OpenSolver331"/>
        <xdr:cNvSpPr/>
      </xdr:nvSpPr>
      <xdr:spPr>
        <a:xfrm>
          <a:off x="29718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18</xdr:row>
      <xdr:rowOff>12700</xdr:rowOff>
    </xdr:from>
    <xdr:to>
      <xdr:col>7</xdr:col>
      <xdr:colOff>99006</xdr:colOff>
      <xdr:row>18</xdr:row>
      <xdr:rowOff>127000</xdr:rowOff>
    </xdr:to>
    <xdr:sp macro="" textlink="">
      <xdr:nvSpPr>
        <xdr:cNvPr id="333" name="OpenSolver332"/>
        <xdr:cNvSpPr/>
      </xdr:nvSpPr>
      <xdr:spPr>
        <a:xfrm>
          <a:off x="33909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18</xdr:row>
      <xdr:rowOff>12700</xdr:rowOff>
    </xdr:from>
    <xdr:to>
      <xdr:col>8</xdr:col>
      <xdr:colOff>92656</xdr:colOff>
      <xdr:row>18</xdr:row>
      <xdr:rowOff>127000</xdr:rowOff>
    </xdr:to>
    <xdr:sp macro="" textlink="">
      <xdr:nvSpPr>
        <xdr:cNvPr id="334" name="OpenSolver333"/>
        <xdr:cNvSpPr/>
      </xdr:nvSpPr>
      <xdr:spPr>
        <a:xfrm>
          <a:off x="38100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18</xdr:row>
      <xdr:rowOff>12700</xdr:rowOff>
    </xdr:from>
    <xdr:to>
      <xdr:col>9</xdr:col>
      <xdr:colOff>99006</xdr:colOff>
      <xdr:row>18</xdr:row>
      <xdr:rowOff>127000</xdr:rowOff>
    </xdr:to>
    <xdr:sp macro="" textlink="">
      <xdr:nvSpPr>
        <xdr:cNvPr id="335" name="OpenSolver334"/>
        <xdr:cNvSpPr/>
      </xdr:nvSpPr>
      <xdr:spPr>
        <a:xfrm>
          <a:off x="42418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18</xdr:row>
      <xdr:rowOff>12700</xdr:rowOff>
    </xdr:from>
    <xdr:to>
      <xdr:col>10</xdr:col>
      <xdr:colOff>105356</xdr:colOff>
      <xdr:row>18</xdr:row>
      <xdr:rowOff>127000</xdr:rowOff>
    </xdr:to>
    <xdr:sp macro="" textlink="">
      <xdr:nvSpPr>
        <xdr:cNvPr id="336" name="OpenSolver335"/>
        <xdr:cNvSpPr/>
      </xdr:nvSpPr>
      <xdr:spPr>
        <a:xfrm>
          <a:off x="46736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18</xdr:row>
      <xdr:rowOff>12700</xdr:rowOff>
    </xdr:from>
    <xdr:to>
      <xdr:col>11</xdr:col>
      <xdr:colOff>99006</xdr:colOff>
      <xdr:row>18</xdr:row>
      <xdr:rowOff>127000</xdr:rowOff>
    </xdr:to>
    <xdr:sp macro="" textlink="">
      <xdr:nvSpPr>
        <xdr:cNvPr id="337" name="OpenSolver336"/>
        <xdr:cNvSpPr/>
      </xdr:nvSpPr>
      <xdr:spPr>
        <a:xfrm>
          <a:off x="50927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18</xdr:row>
      <xdr:rowOff>12700</xdr:rowOff>
    </xdr:from>
    <xdr:to>
      <xdr:col>12</xdr:col>
      <xdr:colOff>92656</xdr:colOff>
      <xdr:row>18</xdr:row>
      <xdr:rowOff>127000</xdr:rowOff>
    </xdr:to>
    <xdr:sp macro="" textlink="">
      <xdr:nvSpPr>
        <xdr:cNvPr id="338" name="OpenSolver337"/>
        <xdr:cNvSpPr/>
      </xdr:nvSpPr>
      <xdr:spPr>
        <a:xfrm>
          <a:off x="55118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18</xdr:row>
      <xdr:rowOff>12700</xdr:rowOff>
    </xdr:from>
    <xdr:to>
      <xdr:col>13</xdr:col>
      <xdr:colOff>99006</xdr:colOff>
      <xdr:row>18</xdr:row>
      <xdr:rowOff>127000</xdr:rowOff>
    </xdr:to>
    <xdr:sp macro="" textlink="">
      <xdr:nvSpPr>
        <xdr:cNvPr id="339" name="OpenSolver338"/>
        <xdr:cNvSpPr/>
      </xdr:nvSpPr>
      <xdr:spPr>
        <a:xfrm>
          <a:off x="59436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18</xdr:row>
      <xdr:rowOff>12700</xdr:rowOff>
    </xdr:from>
    <xdr:to>
      <xdr:col>14</xdr:col>
      <xdr:colOff>105356</xdr:colOff>
      <xdr:row>18</xdr:row>
      <xdr:rowOff>127000</xdr:rowOff>
    </xdr:to>
    <xdr:sp macro="" textlink="">
      <xdr:nvSpPr>
        <xdr:cNvPr id="340" name="OpenSolver339"/>
        <xdr:cNvSpPr/>
      </xdr:nvSpPr>
      <xdr:spPr>
        <a:xfrm>
          <a:off x="6375400" y="3213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20</xdr:row>
      <xdr:rowOff>12700</xdr:rowOff>
    </xdr:from>
    <xdr:to>
      <xdr:col>5</xdr:col>
      <xdr:colOff>99006</xdr:colOff>
      <xdr:row>20</xdr:row>
      <xdr:rowOff>127000</xdr:rowOff>
    </xdr:to>
    <xdr:sp macro="" textlink="">
      <xdr:nvSpPr>
        <xdr:cNvPr id="341" name="OpenSolver340"/>
        <xdr:cNvSpPr/>
      </xdr:nvSpPr>
      <xdr:spPr>
        <a:xfrm>
          <a:off x="25400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20</xdr:row>
      <xdr:rowOff>12700</xdr:rowOff>
    </xdr:from>
    <xdr:to>
      <xdr:col>6</xdr:col>
      <xdr:colOff>105356</xdr:colOff>
      <xdr:row>20</xdr:row>
      <xdr:rowOff>127000</xdr:rowOff>
    </xdr:to>
    <xdr:sp macro="" textlink="">
      <xdr:nvSpPr>
        <xdr:cNvPr id="342" name="OpenSolver341"/>
        <xdr:cNvSpPr/>
      </xdr:nvSpPr>
      <xdr:spPr>
        <a:xfrm>
          <a:off x="29718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20</xdr:row>
      <xdr:rowOff>12700</xdr:rowOff>
    </xdr:from>
    <xdr:to>
      <xdr:col>7</xdr:col>
      <xdr:colOff>99006</xdr:colOff>
      <xdr:row>20</xdr:row>
      <xdr:rowOff>127000</xdr:rowOff>
    </xdr:to>
    <xdr:sp macro="" textlink="">
      <xdr:nvSpPr>
        <xdr:cNvPr id="343" name="OpenSolver342"/>
        <xdr:cNvSpPr/>
      </xdr:nvSpPr>
      <xdr:spPr>
        <a:xfrm>
          <a:off x="33909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20</xdr:row>
      <xdr:rowOff>12700</xdr:rowOff>
    </xdr:from>
    <xdr:to>
      <xdr:col>8</xdr:col>
      <xdr:colOff>92656</xdr:colOff>
      <xdr:row>20</xdr:row>
      <xdr:rowOff>127000</xdr:rowOff>
    </xdr:to>
    <xdr:sp macro="" textlink="">
      <xdr:nvSpPr>
        <xdr:cNvPr id="344" name="OpenSolver343"/>
        <xdr:cNvSpPr/>
      </xdr:nvSpPr>
      <xdr:spPr>
        <a:xfrm>
          <a:off x="38100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20</xdr:row>
      <xdr:rowOff>12700</xdr:rowOff>
    </xdr:from>
    <xdr:to>
      <xdr:col>9</xdr:col>
      <xdr:colOff>99006</xdr:colOff>
      <xdr:row>20</xdr:row>
      <xdr:rowOff>127000</xdr:rowOff>
    </xdr:to>
    <xdr:sp macro="" textlink="">
      <xdr:nvSpPr>
        <xdr:cNvPr id="345" name="OpenSolver344"/>
        <xdr:cNvSpPr/>
      </xdr:nvSpPr>
      <xdr:spPr>
        <a:xfrm>
          <a:off x="42418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20</xdr:row>
      <xdr:rowOff>12700</xdr:rowOff>
    </xdr:from>
    <xdr:to>
      <xdr:col>10</xdr:col>
      <xdr:colOff>105356</xdr:colOff>
      <xdr:row>20</xdr:row>
      <xdr:rowOff>127000</xdr:rowOff>
    </xdr:to>
    <xdr:sp macro="" textlink="">
      <xdr:nvSpPr>
        <xdr:cNvPr id="346" name="OpenSolver345"/>
        <xdr:cNvSpPr/>
      </xdr:nvSpPr>
      <xdr:spPr>
        <a:xfrm>
          <a:off x="46736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20</xdr:row>
      <xdr:rowOff>12700</xdr:rowOff>
    </xdr:from>
    <xdr:to>
      <xdr:col>11</xdr:col>
      <xdr:colOff>99006</xdr:colOff>
      <xdr:row>20</xdr:row>
      <xdr:rowOff>127000</xdr:rowOff>
    </xdr:to>
    <xdr:sp macro="" textlink="">
      <xdr:nvSpPr>
        <xdr:cNvPr id="347" name="OpenSolver346"/>
        <xdr:cNvSpPr/>
      </xdr:nvSpPr>
      <xdr:spPr>
        <a:xfrm>
          <a:off x="50927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20</xdr:row>
      <xdr:rowOff>12700</xdr:rowOff>
    </xdr:from>
    <xdr:to>
      <xdr:col>12</xdr:col>
      <xdr:colOff>92656</xdr:colOff>
      <xdr:row>20</xdr:row>
      <xdr:rowOff>127000</xdr:rowOff>
    </xdr:to>
    <xdr:sp macro="" textlink="">
      <xdr:nvSpPr>
        <xdr:cNvPr id="348" name="OpenSolver347"/>
        <xdr:cNvSpPr/>
      </xdr:nvSpPr>
      <xdr:spPr>
        <a:xfrm>
          <a:off x="55118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20</xdr:row>
      <xdr:rowOff>12700</xdr:rowOff>
    </xdr:from>
    <xdr:to>
      <xdr:col>13</xdr:col>
      <xdr:colOff>99006</xdr:colOff>
      <xdr:row>20</xdr:row>
      <xdr:rowOff>127000</xdr:rowOff>
    </xdr:to>
    <xdr:sp macro="" textlink="">
      <xdr:nvSpPr>
        <xdr:cNvPr id="349" name="OpenSolver348"/>
        <xdr:cNvSpPr/>
      </xdr:nvSpPr>
      <xdr:spPr>
        <a:xfrm>
          <a:off x="59436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20</xdr:row>
      <xdr:rowOff>12700</xdr:rowOff>
    </xdr:from>
    <xdr:to>
      <xdr:col>14</xdr:col>
      <xdr:colOff>105356</xdr:colOff>
      <xdr:row>20</xdr:row>
      <xdr:rowOff>127000</xdr:rowOff>
    </xdr:to>
    <xdr:sp macro="" textlink="">
      <xdr:nvSpPr>
        <xdr:cNvPr id="350" name="OpenSolver349"/>
        <xdr:cNvSpPr/>
      </xdr:nvSpPr>
      <xdr:spPr>
        <a:xfrm>
          <a:off x="6375400" y="3568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22</xdr:row>
      <xdr:rowOff>12700</xdr:rowOff>
    </xdr:from>
    <xdr:to>
      <xdr:col>5</xdr:col>
      <xdr:colOff>99006</xdr:colOff>
      <xdr:row>22</xdr:row>
      <xdr:rowOff>127000</xdr:rowOff>
    </xdr:to>
    <xdr:sp macro="" textlink="">
      <xdr:nvSpPr>
        <xdr:cNvPr id="351" name="OpenSolver350"/>
        <xdr:cNvSpPr/>
      </xdr:nvSpPr>
      <xdr:spPr>
        <a:xfrm>
          <a:off x="25400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22</xdr:row>
      <xdr:rowOff>12700</xdr:rowOff>
    </xdr:from>
    <xdr:to>
      <xdr:col>6</xdr:col>
      <xdr:colOff>105356</xdr:colOff>
      <xdr:row>22</xdr:row>
      <xdr:rowOff>127000</xdr:rowOff>
    </xdr:to>
    <xdr:sp macro="" textlink="">
      <xdr:nvSpPr>
        <xdr:cNvPr id="352" name="OpenSolver351"/>
        <xdr:cNvSpPr/>
      </xdr:nvSpPr>
      <xdr:spPr>
        <a:xfrm>
          <a:off x="29718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22</xdr:row>
      <xdr:rowOff>12700</xdr:rowOff>
    </xdr:from>
    <xdr:to>
      <xdr:col>7</xdr:col>
      <xdr:colOff>99006</xdr:colOff>
      <xdr:row>22</xdr:row>
      <xdr:rowOff>127000</xdr:rowOff>
    </xdr:to>
    <xdr:sp macro="" textlink="">
      <xdr:nvSpPr>
        <xdr:cNvPr id="353" name="OpenSolver352"/>
        <xdr:cNvSpPr/>
      </xdr:nvSpPr>
      <xdr:spPr>
        <a:xfrm>
          <a:off x="33909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22</xdr:row>
      <xdr:rowOff>12700</xdr:rowOff>
    </xdr:from>
    <xdr:to>
      <xdr:col>8</xdr:col>
      <xdr:colOff>92656</xdr:colOff>
      <xdr:row>22</xdr:row>
      <xdr:rowOff>127000</xdr:rowOff>
    </xdr:to>
    <xdr:sp macro="" textlink="">
      <xdr:nvSpPr>
        <xdr:cNvPr id="354" name="OpenSolver353"/>
        <xdr:cNvSpPr/>
      </xdr:nvSpPr>
      <xdr:spPr>
        <a:xfrm>
          <a:off x="38100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22</xdr:row>
      <xdr:rowOff>12700</xdr:rowOff>
    </xdr:from>
    <xdr:to>
      <xdr:col>9</xdr:col>
      <xdr:colOff>99006</xdr:colOff>
      <xdr:row>22</xdr:row>
      <xdr:rowOff>127000</xdr:rowOff>
    </xdr:to>
    <xdr:sp macro="" textlink="">
      <xdr:nvSpPr>
        <xdr:cNvPr id="355" name="OpenSolver354"/>
        <xdr:cNvSpPr/>
      </xdr:nvSpPr>
      <xdr:spPr>
        <a:xfrm>
          <a:off x="42418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22</xdr:row>
      <xdr:rowOff>12700</xdr:rowOff>
    </xdr:from>
    <xdr:to>
      <xdr:col>10</xdr:col>
      <xdr:colOff>105356</xdr:colOff>
      <xdr:row>22</xdr:row>
      <xdr:rowOff>127000</xdr:rowOff>
    </xdr:to>
    <xdr:sp macro="" textlink="">
      <xdr:nvSpPr>
        <xdr:cNvPr id="356" name="OpenSolver355"/>
        <xdr:cNvSpPr/>
      </xdr:nvSpPr>
      <xdr:spPr>
        <a:xfrm>
          <a:off x="46736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22</xdr:row>
      <xdr:rowOff>12700</xdr:rowOff>
    </xdr:from>
    <xdr:to>
      <xdr:col>11</xdr:col>
      <xdr:colOff>99006</xdr:colOff>
      <xdr:row>22</xdr:row>
      <xdr:rowOff>127000</xdr:rowOff>
    </xdr:to>
    <xdr:sp macro="" textlink="">
      <xdr:nvSpPr>
        <xdr:cNvPr id="357" name="OpenSolver356"/>
        <xdr:cNvSpPr/>
      </xdr:nvSpPr>
      <xdr:spPr>
        <a:xfrm>
          <a:off x="50927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22</xdr:row>
      <xdr:rowOff>12700</xdr:rowOff>
    </xdr:from>
    <xdr:to>
      <xdr:col>12</xdr:col>
      <xdr:colOff>92656</xdr:colOff>
      <xdr:row>22</xdr:row>
      <xdr:rowOff>127000</xdr:rowOff>
    </xdr:to>
    <xdr:sp macro="" textlink="">
      <xdr:nvSpPr>
        <xdr:cNvPr id="358" name="OpenSolver357"/>
        <xdr:cNvSpPr/>
      </xdr:nvSpPr>
      <xdr:spPr>
        <a:xfrm>
          <a:off x="55118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22</xdr:row>
      <xdr:rowOff>12700</xdr:rowOff>
    </xdr:from>
    <xdr:to>
      <xdr:col>13</xdr:col>
      <xdr:colOff>99006</xdr:colOff>
      <xdr:row>22</xdr:row>
      <xdr:rowOff>127000</xdr:rowOff>
    </xdr:to>
    <xdr:sp macro="" textlink="">
      <xdr:nvSpPr>
        <xdr:cNvPr id="359" name="OpenSolver358"/>
        <xdr:cNvSpPr/>
      </xdr:nvSpPr>
      <xdr:spPr>
        <a:xfrm>
          <a:off x="59436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22</xdr:row>
      <xdr:rowOff>12700</xdr:rowOff>
    </xdr:from>
    <xdr:to>
      <xdr:col>14</xdr:col>
      <xdr:colOff>105356</xdr:colOff>
      <xdr:row>22</xdr:row>
      <xdr:rowOff>127000</xdr:rowOff>
    </xdr:to>
    <xdr:sp macro="" textlink="">
      <xdr:nvSpPr>
        <xdr:cNvPr id="360" name="OpenSolver359"/>
        <xdr:cNvSpPr/>
      </xdr:nvSpPr>
      <xdr:spPr>
        <a:xfrm>
          <a:off x="6375400" y="3924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24</xdr:row>
      <xdr:rowOff>12700</xdr:rowOff>
    </xdr:from>
    <xdr:to>
      <xdr:col>5</xdr:col>
      <xdr:colOff>99006</xdr:colOff>
      <xdr:row>24</xdr:row>
      <xdr:rowOff>127000</xdr:rowOff>
    </xdr:to>
    <xdr:sp macro="" textlink="">
      <xdr:nvSpPr>
        <xdr:cNvPr id="361" name="OpenSolver360"/>
        <xdr:cNvSpPr/>
      </xdr:nvSpPr>
      <xdr:spPr>
        <a:xfrm>
          <a:off x="25400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24</xdr:row>
      <xdr:rowOff>12700</xdr:rowOff>
    </xdr:from>
    <xdr:to>
      <xdr:col>6</xdr:col>
      <xdr:colOff>105356</xdr:colOff>
      <xdr:row>24</xdr:row>
      <xdr:rowOff>127000</xdr:rowOff>
    </xdr:to>
    <xdr:sp macro="" textlink="">
      <xdr:nvSpPr>
        <xdr:cNvPr id="362" name="OpenSolver361"/>
        <xdr:cNvSpPr/>
      </xdr:nvSpPr>
      <xdr:spPr>
        <a:xfrm>
          <a:off x="29718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24</xdr:row>
      <xdr:rowOff>12700</xdr:rowOff>
    </xdr:from>
    <xdr:to>
      <xdr:col>7</xdr:col>
      <xdr:colOff>99006</xdr:colOff>
      <xdr:row>24</xdr:row>
      <xdr:rowOff>127000</xdr:rowOff>
    </xdr:to>
    <xdr:sp macro="" textlink="">
      <xdr:nvSpPr>
        <xdr:cNvPr id="363" name="OpenSolver362"/>
        <xdr:cNvSpPr/>
      </xdr:nvSpPr>
      <xdr:spPr>
        <a:xfrm>
          <a:off x="33909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24</xdr:row>
      <xdr:rowOff>12700</xdr:rowOff>
    </xdr:from>
    <xdr:to>
      <xdr:col>8</xdr:col>
      <xdr:colOff>92656</xdr:colOff>
      <xdr:row>24</xdr:row>
      <xdr:rowOff>127000</xdr:rowOff>
    </xdr:to>
    <xdr:sp macro="" textlink="">
      <xdr:nvSpPr>
        <xdr:cNvPr id="364" name="OpenSolver363"/>
        <xdr:cNvSpPr/>
      </xdr:nvSpPr>
      <xdr:spPr>
        <a:xfrm>
          <a:off x="38100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24</xdr:row>
      <xdr:rowOff>12700</xdr:rowOff>
    </xdr:from>
    <xdr:to>
      <xdr:col>9</xdr:col>
      <xdr:colOff>99006</xdr:colOff>
      <xdr:row>24</xdr:row>
      <xdr:rowOff>127000</xdr:rowOff>
    </xdr:to>
    <xdr:sp macro="" textlink="">
      <xdr:nvSpPr>
        <xdr:cNvPr id="365" name="OpenSolver364"/>
        <xdr:cNvSpPr/>
      </xdr:nvSpPr>
      <xdr:spPr>
        <a:xfrm>
          <a:off x="42418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24</xdr:row>
      <xdr:rowOff>12700</xdr:rowOff>
    </xdr:from>
    <xdr:to>
      <xdr:col>10</xdr:col>
      <xdr:colOff>105356</xdr:colOff>
      <xdr:row>24</xdr:row>
      <xdr:rowOff>127000</xdr:rowOff>
    </xdr:to>
    <xdr:sp macro="" textlink="">
      <xdr:nvSpPr>
        <xdr:cNvPr id="366" name="OpenSolver365"/>
        <xdr:cNvSpPr/>
      </xdr:nvSpPr>
      <xdr:spPr>
        <a:xfrm>
          <a:off x="46736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24</xdr:row>
      <xdr:rowOff>12700</xdr:rowOff>
    </xdr:from>
    <xdr:to>
      <xdr:col>11</xdr:col>
      <xdr:colOff>99006</xdr:colOff>
      <xdr:row>24</xdr:row>
      <xdr:rowOff>127000</xdr:rowOff>
    </xdr:to>
    <xdr:sp macro="" textlink="">
      <xdr:nvSpPr>
        <xdr:cNvPr id="367" name="OpenSolver366"/>
        <xdr:cNvSpPr/>
      </xdr:nvSpPr>
      <xdr:spPr>
        <a:xfrm>
          <a:off x="50927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24</xdr:row>
      <xdr:rowOff>12700</xdr:rowOff>
    </xdr:from>
    <xdr:to>
      <xdr:col>12</xdr:col>
      <xdr:colOff>92656</xdr:colOff>
      <xdr:row>24</xdr:row>
      <xdr:rowOff>127000</xdr:rowOff>
    </xdr:to>
    <xdr:sp macro="" textlink="">
      <xdr:nvSpPr>
        <xdr:cNvPr id="368" name="OpenSolver367"/>
        <xdr:cNvSpPr/>
      </xdr:nvSpPr>
      <xdr:spPr>
        <a:xfrm>
          <a:off x="55118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24</xdr:row>
      <xdr:rowOff>12700</xdr:rowOff>
    </xdr:from>
    <xdr:to>
      <xdr:col>13</xdr:col>
      <xdr:colOff>99006</xdr:colOff>
      <xdr:row>24</xdr:row>
      <xdr:rowOff>127000</xdr:rowOff>
    </xdr:to>
    <xdr:sp macro="" textlink="">
      <xdr:nvSpPr>
        <xdr:cNvPr id="369" name="OpenSolver368"/>
        <xdr:cNvSpPr/>
      </xdr:nvSpPr>
      <xdr:spPr>
        <a:xfrm>
          <a:off x="59436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24</xdr:row>
      <xdr:rowOff>12700</xdr:rowOff>
    </xdr:from>
    <xdr:to>
      <xdr:col>14</xdr:col>
      <xdr:colOff>105356</xdr:colOff>
      <xdr:row>24</xdr:row>
      <xdr:rowOff>127000</xdr:rowOff>
    </xdr:to>
    <xdr:sp macro="" textlink="">
      <xdr:nvSpPr>
        <xdr:cNvPr id="370" name="OpenSolver369"/>
        <xdr:cNvSpPr/>
      </xdr:nvSpPr>
      <xdr:spPr>
        <a:xfrm>
          <a:off x="6375400" y="4279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</xdr:colOff>
      <xdr:row>26</xdr:row>
      <xdr:rowOff>12700</xdr:rowOff>
    </xdr:from>
    <xdr:to>
      <xdr:col>5</xdr:col>
      <xdr:colOff>99006</xdr:colOff>
      <xdr:row>26</xdr:row>
      <xdr:rowOff>127000</xdr:rowOff>
    </xdr:to>
    <xdr:sp macro="" textlink="">
      <xdr:nvSpPr>
        <xdr:cNvPr id="371" name="OpenSolver370"/>
        <xdr:cNvSpPr/>
      </xdr:nvSpPr>
      <xdr:spPr>
        <a:xfrm>
          <a:off x="25400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19050</xdr:colOff>
      <xdr:row>26</xdr:row>
      <xdr:rowOff>12700</xdr:rowOff>
    </xdr:from>
    <xdr:to>
      <xdr:col>6</xdr:col>
      <xdr:colOff>105356</xdr:colOff>
      <xdr:row>26</xdr:row>
      <xdr:rowOff>127000</xdr:rowOff>
    </xdr:to>
    <xdr:sp macro="" textlink="">
      <xdr:nvSpPr>
        <xdr:cNvPr id="372" name="OpenSolver371"/>
        <xdr:cNvSpPr/>
      </xdr:nvSpPr>
      <xdr:spPr>
        <a:xfrm>
          <a:off x="29718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12700</xdr:colOff>
      <xdr:row>26</xdr:row>
      <xdr:rowOff>12700</xdr:rowOff>
    </xdr:from>
    <xdr:to>
      <xdr:col>7</xdr:col>
      <xdr:colOff>99006</xdr:colOff>
      <xdr:row>26</xdr:row>
      <xdr:rowOff>127000</xdr:rowOff>
    </xdr:to>
    <xdr:sp macro="" textlink="">
      <xdr:nvSpPr>
        <xdr:cNvPr id="373" name="OpenSolver372"/>
        <xdr:cNvSpPr/>
      </xdr:nvSpPr>
      <xdr:spPr>
        <a:xfrm>
          <a:off x="33909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6350</xdr:colOff>
      <xdr:row>26</xdr:row>
      <xdr:rowOff>12700</xdr:rowOff>
    </xdr:from>
    <xdr:to>
      <xdr:col>8</xdr:col>
      <xdr:colOff>92656</xdr:colOff>
      <xdr:row>26</xdr:row>
      <xdr:rowOff>127000</xdr:rowOff>
    </xdr:to>
    <xdr:sp macro="" textlink="">
      <xdr:nvSpPr>
        <xdr:cNvPr id="374" name="OpenSolver373"/>
        <xdr:cNvSpPr/>
      </xdr:nvSpPr>
      <xdr:spPr>
        <a:xfrm>
          <a:off x="38100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12700</xdr:colOff>
      <xdr:row>26</xdr:row>
      <xdr:rowOff>12700</xdr:rowOff>
    </xdr:from>
    <xdr:to>
      <xdr:col>9</xdr:col>
      <xdr:colOff>99006</xdr:colOff>
      <xdr:row>26</xdr:row>
      <xdr:rowOff>127000</xdr:rowOff>
    </xdr:to>
    <xdr:sp macro="" textlink="">
      <xdr:nvSpPr>
        <xdr:cNvPr id="375" name="OpenSolver374"/>
        <xdr:cNvSpPr/>
      </xdr:nvSpPr>
      <xdr:spPr>
        <a:xfrm>
          <a:off x="42418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19050</xdr:colOff>
      <xdr:row>26</xdr:row>
      <xdr:rowOff>12700</xdr:rowOff>
    </xdr:from>
    <xdr:to>
      <xdr:col>10</xdr:col>
      <xdr:colOff>105356</xdr:colOff>
      <xdr:row>26</xdr:row>
      <xdr:rowOff>127000</xdr:rowOff>
    </xdr:to>
    <xdr:sp macro="" textlink="">
      <xdr:nvSpPr>
        <xdr:cNvPr id="376" name="OpenSolver375"/>
        <xdr:cNvSpPr/>
      </xdr:nvSpPr>
      <xdr:spPr>
        <a:xfrm>
          <a:off x="46736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12700</xdr:colOff>
      <xdr:row>26</xdr:row>
      <xdr:rowOff>12700</xdr:rowOff>
    </xdr:from>
    <xdr:to>
      <xdr:col>11</xdr:col>
      <xdr:colOff>99006</xdr:colOff>
      <xdr:row>26</xdr:row>
      <xdr:rowOff>127000</xdr:rowOff>
    </xdr:to>
    <xdr:sp macro="" textlink="">
      <xdr:nvSpPr>
        <xdr:cNvPr id="377" name="OpenSolver376"/>
        <xdr:cNvSpPr/>
      </xdr:nvSpPr>
      <xdr:spPr>
        <a:xfrm>
          <a:off x="50927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6350</xdr:colOff>
      <xdr:row>26</xdr:row>
      <xdr:rowOff>12700</xdr:rowOff>
    </xdr:from>
    <xdr:to>
      <xdr:col>12</xdr:col>
      <xdr:colOff>92656</xdr:colOff>
      <xdr:row>26</xdr:row>
      <xdr:rowOff>127000</xdr:rowOff>
    </xdr:to>
    <xdr:sp macro="" textlink="">
      <xdr:nvSpPr>
        <xdr:cNvPr id="378" name="OpenSolver377"/>
        <xdr:cNvSpPr/>
      </xdr:nvSpPr>
      <xdr:spPr>
        <a:xfrm>
          <a:off x="55118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12700</xdr:colOff>
      <xdr:row>26</xdr:row>
      <xdr:rowOff>12700</xdr:rowOff>
    </xdr:from>
    <xdr:to>
      <xdr:col>13</xdr:col>
      <xdr:colOff>99006</xdr:colOff>
      <xdr:row>26</xdr:row>
      <xdr:rowOff>127000</xdr:rowOff>
    </xdr:to>
    <xdr:sp macro="" textlink="">
      <xdr:nvSpPr>
        <xdr:cNvPr id="379" name="OpenSolver378"/>
        <xdr:cNvSpPr/>
      </xdr:nvSpPr>
      <xdr:spPr>
        <a:xfrm>
          <a:off x="59436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19050</xdr:colOff>
      <xdr:row>26</xdr:row>
      <xdr:rowOff>12700</xdr:rowOff>
    </xdr:from>
    <xdr:to>
      <xdr:col>14</xdr:col>
      <xdr:colOff>105356</xdr:colOff>
      <xdr:row>26</xdr:row>
      <xdr:rowOff>127000</xdr:rowOff>
    </xdr:to>
    <xdr:sp macro="" textlink="">
      <xdr:nvSpPr>
        <xdr:cNvPr id="380" name="OpenSolver379"/>
        <xdr:cNvSpPr/>
      </xdr:nvSpPr>
      <xdr:spPr>
        <a:xfrm>
          <a:off x="6375400" y="4635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altLang="zh-CN" sz="900">
              <a:solidFill>
                <a:srgbClr val="000000"/>
              </a:solidFill>
            </a:rPr>
            <a:t>b</a:t>
          </a:r>
          <a:endParaRPr lang="zh-CN" altLang="en-US" sz="900">
            <a:solidFill>
              <a:srgbClr val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2:Y49"/>
  <sheetViews>
    <sheetView showGridLines="0" showRowColHeaders="0" topLeftCell="A4" zoomScale="75" zoomScaleNormal="75" zoomScalePageLayoutView="70" workbookViewId="0">
      <selection activeCell="AC28" sqref="AC28"/>
    </sheetView>
  </sheetViews>
  <sheetFormatPr defaultRowHeight="14" x14ac:dyDescent="0.3"/>
  <cols>
    <col min="1" max="1" width="8.6640625" customWidth="1"/>
    <col min="2" max="2" width="9.1640625" customWidth="1"/>
    <col min="3" max="4" width="6.58203125" customWidth="1"/>
    <col min="5" max="18" width="6.58203125" style="1" customWidth="1"/>
    <col min="19" max="19" width="3.5" customWidth="1"/>
    <col min="20" max="20" width="6.75" customWidth="1"/>
    <col min="21" max="21" width="6.58203125" customWidth="1"/>
    <col min="22" max="22" width="9.4140625" customWidth="1"/>
    <col min="23" max="23" width="6.58203125" customWidth="1"/>
    <col min="24" max="24" width="4" customWidth="1"/>
  </cols>
  <sheetData>
    <row r="2" spans="1:25" x14ac:dyDescent="0.3">
      <c r="A2" s="4"/>
      <c r="B2" s="32"/>
      <c r="C2" s="32"/>
      <c r="D2" s="32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32"/>
      <c r="T2" s="32"/>
      <c r="U2" s="32"/>
      <c r="V2" s="32"/>
      <c r="W2" s="32"/>
      <c r="X2" s="33"/>
      <c r="Y2" s="6"/>
    </row>
    <row r="3" spans="1:25" x14ac:dyDescent="0.3">
      <c r="A3" s="3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5"/>
    </row>
    <row r="4" spans="1:25" ht="13" customHeight="1" x14ac:dyDescent="0.3">
      <c r="A4" s="3"/>
      <c r="B4" s="86" t="s">
        <v>46</v>
      </c>
      <c r="C4" s="14"/>
      <c r="D4" s="14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T4" s="103" t="s">
        <v>66</v>
      </c>
      <c r="U4" s="102"/>
      <c r="V4" s="15"/>
      <c r="W4" s="15"/>
      <c r="X4" s="7"/>
      <c r="Y4" s="5"/>
    </row>
    <row r="5" spans="1:25" ht="13" customHeight="1" x14ac:dyDescent="0.3">
      <c r="A5" s="3"/>
      <c r="B5" s="86"/>
      <c r="C5" s="87" t="s">
        <v>21</v>
      </c>
      <c r="D5" s="88"/>
      <c r="E5" s="80" t="s">
        <v>36</v>
      </c>
      <c r="F5" s="80">
        <v>2</v>
      </c>
      <c r="G5" s="80">
        <v>3</v>
      </c>
      <c r="H5" s="80">
        <v>4</v>
      </c>
      <c r="I5" s="80">
        <v>5</v>
      </c>
      <c r="J5" s="80">
        <v>6</v>
      </c>
      <c r="K5" s="80">
        <v>7</v>
      </c>
      <c r="L5" s="80">
        <v>8</v>
      </c>
      <c r="M5" s="80">
        <v>9</v>
      </c>
      <c r="N5" s="80">
        <v>10</v>
      </c>
      <c r="O5" s="80">
        <v>11</v>
      </c>
      <c r="P5" s="80">
        <v>12</v>
      </c>
      <c r="Q5" s="80">
        <v>13</v>
      </c>
      <c r="R5" s="34">
        <v>14</v>
      </c>
      <c r="T5" s="41" t="s">
        <v>26</v>
      </c>
      <c r="U5" s="42" t="s">
        <v>24</v>
      </c>
      <c r="V5" s="42" t="s">
        <v>28</v>
      </c>
      <c r="W5" s="34" t="s">
        <v>55</v>
      </c>
      <c r="X5" s="7"/>
      <c r="Y5" s="5"/>
    </row>
    <row r="6" spans="1:25" ht="13" customHeight="1" x14ac:dyDescent="0.3">
      <c r="A6" s="3"/>
      <c r="B6" s="4"/>
      <c r="C6" s="26" t="s">
        <v>37</v>
      </c>
      <c r="D6" s="17" t="s">
        <v>38</v>
      </c>
      <c r="E6" s="17">
        <v>1</v>
      </c>
      <c r="F6" s="17">
        <v>0</v>
      </c>
      <c r="G6" s="17">
        <v>0</v>
      </c>
      <c r="H6" s="17">
        <v>0</v>
      </c>
      <c r="I6" s="17">
        <v>0</v>
      </c>
      <c r="J6" s="17">
        <v>1</v>
      </c>
      <c r="K6" s="17">
        <v>0</v>
      </c>
      <c r="L6" s="17">
        <v>0</v>
      </c>
      <c r="M6" s="17">
        <v>1</v>
      </c>
      <c r="N6" s="17">
        <v>0</v>
      </c>
      <c r="O6" s="17">
        <v>0</v>
      </c>
      <c r="P6" s="17">
        <v>0</v>
      </c>
      <c r="Q6" s="17">
        <v>0</v>
      </c>
      <c r="R6" s="27">
        <v>0</v>
      </c>
      <c r="T6" s="26">
        <f>SUM(E6:R8)</f>
        <v>12</v>
      </c>
      <c r="U6" s="17">
        <v>2</v>
      </c>
      <c r="V6" s="17">
        <f>T6-U6</f>
        <v>10</v>
      </c>
      <c r="W6" s="27">
        <v>10</v>
      </c>
      <c r="X6" s="7"/>
      <c r="Y6" s="5"/>
    </row>
    <row r="7" spans="1:25" ht="13" customHeight="1" x14ac:dyDescent="0.3">
      <c r="A7" s="3"/>
      <c r="B7" s="4"/>
      <c r="C7" s="26">
        <v>2</v>
      </c>
      <c r="D7" s="17">
        <v>1</v>
      </c>
      <c r="E7" s="17">
        <v>0</v>
      </c>
      <c r="F7" s="17">
        <v>0</v>
      </c>
      <c r="G7" s="17">
        <v>0</v>
      </c>
      <c r="H7" s="17">
        <v>1</v>
      </c>
      <c r="I7" s="17">
        <v>1</v>
      </c>
      <c r="J7" s="17">
        <v>0</v>
      </c>
      <c r="K7" s="17">
        <v>1</v>
      </c>
      <c r="L7" s="17">
        <v>1</v>
      </c>
      <c r="M7" s="17">
        <v>0</v>
      </c>
      <c r="N7" s="17">
        <v>1</v>
      </c>
      <c r="O7" s="17">
        <v>0</v>
      </c>
      <c r="P7" s="17">
        <v>0</v>
      </c>
      <c r="Q7" s="17">
        <v>1</v>
      </c>
      <c r="R7" s="27">
        <v>0</v>
      </c>
      <c r="T7" s="43" t="s">
        <v>27</v>
      </c>
      <c r="U7" s="44" t="s">
        <v>23</v>
      </c>
      <c r="V7" s="44" t="s">
        <v>29</v>
      </c>
      <c r="W7" s="25" t="s">
        <v>56</v>
      </c>
      <c r="X7" s="7"/>
      <c r="Y7" s="5"/>
    </row>
    <row r="8" spans="1:25" ht="13" customHeight="1" x14ac:dyDescent="0.3">
      <c r="A8" s="3"/>
      <c r="B8" s="16"/>
      <c r="C8" s="26">
        <v>3</v>
      </c>
      <c r="D8" s="17">
        <v>1</v>
      </c>
      <c r="E8" s="17">
        <v>0</v>
      </c>
      <c r="F8" s="17">
        <v>1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7">
        <v>0</v>
      </c>
      <c r="O8" s="17">
        <v>1</v>
      </c>
      <c r="P8" s="17">
        <v>0</v>
      </c>
      <c r="Q8" s="17">
        <v>0</v>
      </c>
      <c r="R8" s="27">
        <v>1</v>
      </c>
      <c r="T8" s="26">
        <f>SUM(E8:R8)</f>
        <v>3</v>
      </c>
      <c r="U8" s="17">
        <v>0</v>
      </c>
      <c r="V8" s="17">
        <f>T8-U8</f>
        <v>3</v>
      </c>
      <c r="W8" s="27">
        <v>3</v>
      </c>
      <c r="X8" s="7"/>
      <c r="Y8" s="5"/>
    </row>
    <row r="9" spans="1:25" ht="13" customHeight="1" x14ac:dyDescent="0.3">
      <c r="A9" s="3"/>
      <c r="B9" s="16"/>
      <c r="C9" s="26">
        <v>4</v>
      </c>
      <c r="D9" s="17">
        <v>1</v>
      </c>
      <c r="E9" s="17">
        <v>0</v>
      </c>
      <c r="F9" s="17">
        <v>0</v>
      </c>
      <c r="G9" s="17">
        <v>1</v>
      </c>
      <c r="H9" s="17">
        <v>0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1</v>
      </c>
      <c r="Q9" s="17">
        <v>0</v>
      </c>
      <c r="R9" s="27">
        <v>0</v>
      </c>
      <c r="T9" s="43"/>
      <c r="U9" s="44"/>
      <c r="V9" s="44"/>
      <c r="W9" s="25"/>
      <c r="X9" s="7"/>
      <c r="Y9" s="5"/>
    </row>
    <row r="10" spans="1:25" ht="13" customHeight="1" x14ac:dyDescent="0.3">
      <c r="A10" s="3"/>
      <c r="B10" s="16"/>
      <c r="C10" s="90" t="s">
        <v>25</v>
      </c>
      <c r="D10" s="91"/>
      <c r="E10" s="81">
        <f>SUM(E6:E9)</f>
        <v>1</v>
      </c>
      <c r="F10" s="81">
        <f t="shared" ref="F10:R10" si="0">SUM(F6:F9)</f>
        <v>1</v>
      </c>
      <c r="G10" s="81">
        <f t="shared" si="0"/>
        <v>1</v>
      </c>
      <c r="H10" s="81">
        <f t="shared" si="0"/>
        <v>1</v>
      </c>
      <c r="I10" s="81">
        <f t="shared" si="0"/>
        <v>1</v>
      </c>
      <c r="J10" s="81">
        <f t="shared" si="0"/>
        <v>1</v>
      </c>
      <c r="K10" s="81">
        <f t="shared" si="0"/>
        <v>1</v>
      </c>
      <c r="L10" s="81">
        <f t="shared" si="0"/>
        <v>1</v>
      </c>
      <c r="M10" s="81">
        <f t="shared" si="0"/>
        <v>1</v>
      </c>
      <c r="N10" s="81">
        <f t="shared" si="0"/>
        <v>1</v>
      </c>
      <c r="O10" s="81">
        <f t="shared" si="0"/>
        <v>1</v>
      </c>
      <c r="P10" s="81">
        <f t="shared" si="0"/>
        <v>1</v>
      </c>
      <c r="Q10" s="81">
        <f t="shared" si="0"/>
        <v>1</v>
      </c>
      <c r="R10" s="25">
        <f t="shared" si="0"/>
        <v>1</v>
      </c>
      <c r="T10" s="43"/>
      <c r="U10" s="44"/>
      <c r="V10" s="44"/>
      <c r="W10" s="25"/>
      <c r="X10" s="7"/>
      <c r="Y10" s="5"/>
    </row>
    <row r="11" spans="1:25" ht="13" customHeight="1" x14ac:dyDescent="0.3">
      <c r="A11" s="3"/>
      <c r="B11" s="16"/>
      <c r="C11" s="26" t="s">
        <v>37</v>
      </c>
      <c r="D11" s="17" t="s">
        <v>62</v>
      </c>
      <c r="E11" s="17">
        <v>0</v>
      </c>
      <c r="F11" s="17">
        <v>0</v>
      </c>
      <c r="G11" s="17">
        <v>0</v>
      </c>
      <c r="H11" s="17">
        <v>0</v>
      </c>
      <c r="I11" s="17">
        <v>0</v>
      </c>
      <c r="J11" s="17">
        <v>0</v>
      </c>
      <c r="K11" s="17">
        <v>0</v>
      </c>
      <c r="L11" s="17">
        <v>1</v>
      </c>
      <c r="M11" s="17">
        <v>0</v>
      </c>
      <c r="N11" s="17">
        <v>1</v>
      </c>
      <c r="O11" s="17">
        <v>0</v>
      </c>
      <c r="P11" s="17">
        <v>0</v>
      </c>
      <c r="Q11" s="17">
        <v>0</v>
      </c>
      <c r="R11" s="27">
        <v>0</v>
      </c>
      <c r="T11" s="26">
        <f>SUM(E11:R13)</f>
        <v>10</v>
      </c>
      <c r="U11" s="17">
        <v>0</v>
      </c>
      <c r="V11" s="17">
        <f>T11-U11</f>
        <v>10</v>
      </c>
      <c r="W11" s="27">
        <v>10</v>
      </c>
      <c r="X11" s="7"/>
      <c r="Y11" s="5"/>
    </row>
    <row r="12" spans="1:25" ht="13" customHeight="1" x14ac:dyDescent="0.3">
      <c r="A12" s="3"/>
      <c r="B12" s="16"/>
      <c r="C12" s="26">
        <v>2</v>
      </c>
      <c r="D12" s="17">
        <v>2</v>
      </c>
      <c r="E12" s="17">
        <v>1</v>
      </c>
      <c r="F12" s="17">
        <v>1</v>
      </c>
      <c r="G12" s="17">
        <v>1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1</v>
      </c>
      <c r="N12" s="17">
        <v>0</v>
      </c>
      <c r="O12" s="17">
        <v>1</v>
      </c>
      <c r="P12" s="17">
        <v>1</v>
      </c>
      <c r="Q12" s="17">
        <v>0</v>
      </c>
      <c r="R12" s="27">
        <v>0</v>
      </c>
      <c r="T12" s="43"/>
      <c r="U12" s="44"/>
      <c r="V12" s="44"/>
      <c r="W12" s="25"/>
      <c r="X12" s="7"/>
      <c r="Y12" s="5"/>
    </row>
    <row r="13" spans="1:25" ht="13" customHeight="1" x14ac:dyDescent="0.3">
      <c r="A13" s="3"/>
      <c r="B13" s="16"/>
      <c r="C13" s="26">
        <v>3</v>
      </c>
      <c r="D13" s="17">
        <v>2</v>
      </c>
      <c r="E13" s="17">
        <v>0</v>
      </c>
      <c r="F13" s="17">
        <v>0</v>
      </c>
      <c r="G13" s="17">
        <v>0</v>
      </c>
      <c r="H13" s="17">
        <v>1</v>
      </c>
      <c r="I13" s="17">
        <v>0</v>
      </c>
      <c r="J13" s="17">
        <v>1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27">
        <v>0</v>
      </c>
      <c r="T13" s="26">
        <f>SUM(E13:R13)</f>
        <v>2</v>
      </c>
      <c r="U13" s="17">
        <v>0</v>
      </c>
      <c r="V13" s="17">
        <f>T13-U13</f>
        <v>2</v>
      </c>
      <c r="W13" s="27">
        <v>3</v>
      </c>
      <c r="X13" s="7"/>
      <c r="Y13" s="5"/>
    </row>
    <row r="14" spans="1:25" ht="13" customHeight="1" x14ac:dyDescent="0.3">
      <c r="A14" s="3"/>
      <c r="B14" s="16"/>
      <c r="C14" s="26">
        <v>4</v>
      </c>
      <c r="D14" s="17">
        <v>2</v>
      </c>
      <c r="E14" s="17">
        <v>0</v>
      </c>
      <c r="F14" s="17">
        <v>0</v>
      </c>
      <c r="G14" s="17">
        <v>0</v>
      </c>
      <c r="H14" s="17">
        <v>0</v>
      </c>
      <c r="I14" s="17">
        <v>1</v>
      </c>
      <c r="J14" s="17">
        <v>0</v>
      </c>
      <c r="K14" s="17">
        <v>1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1</v>
      </c>
      <c r="R14" s="27">
        <v>1</v>
      </c>
      <c r="T14" s="43"/>
      <c r="U14" s="44"/>
      <c r="V14" s="44"/>
      <c r="W14" s="25"/>
      <c r="X14" s="7"/>
      <c r="Y14" s="5"/>
    </row>
    <row r="15" spans="1:25" ht="13" customHeight="1" x14ac:dyDescent="0.3">
      <c r="A15" s="3"/>
      <c r="B15" s="16"/>
      <c r="C15" s="90" t="s">
        <v>25</v>
      </c>
      <c r="D15" s="91"/>
      <c r="E15" s="81">
        <f t="shared" ref="E15:R15" si="1">SUM(E11:E14)</f>
        <v>1</v>
      </c>
      <c r="F15" s="81">
        <f t="shared" si="1"/>
        <v>1</v>
      </c>
      <c r="G15" s="81">
        <f t="shared" si="1"/>
        <v>1</v>
      </c>
      <c r="H15" s="81">
        <f t="shared" si="1"/>
        <v>1</v>
      </c>
      <c r="I15" s="81">
        <f t="shared" si="1"/>
        <v>1</v>
      </c>
      <c r="J15" s="81">
        <f t="shared" si="1"/>
        <v>1</v>
      </c>
      <c r="K15" s="81">
        <f t="shared" si="1"/>
        <v>1</v>
      </c>
      <c r="L15" s="81">
        <f t="shared" si="1"/>
        <v>1</v>
      </c>
      <c r="M15" s="81">
        <f t="shared" si="1"/>
        <v>1</v>
      </c>
      <c r="N15" s="81">
        <f t="shared" si="1"/>
        <v>1</v>
      </c>
      <c r="O15" s="81">
        <f t="shared" si="1"/>
        <v>1</v>
      </c>
      <c r="P15" s="81">
        <f t="shared" si="1"/>
        <v>1</v>
      </c>
      <c r="Q15" s="81">
        <f t="shared" si="1"/>
        <v>1</v>
      </c>
      <c r="R15" s="25">
        <f t="shared" si="1"/>
        <v>1</v>
      </c>
      <c r="T15" s="43"/>
      <c r="U15" s="44"/>
      <c r="V15" s="44"/>
      <c r="W15" s="25"/>
      <c r="X15" s="7"/>
      <c r="Y15" s="5"/>
    </row>
    <row r="16" spans="1:25" ht="13" customHeight="1" x14ac:dyDescent="0.3">
      <c r="A16" s="3"/>
      <c r="B16" s="16"/>
      <c r="C16" s="26" t="s">
        <v>37</v>
      </c>
      <c r="D16" s="17" t="s">
        <v>63</v>
      </c>
      <c r="E16" s="17">
        <v>0</v>
      </c>
      <c r="F16" s="17">
        <v>0</v>
      </c>
      <c r="G16" s="17">
        <v>0</v>
      </c>
      <c r="H16" s="17">
        <v>0</v>
      </c>
      <c r="I16" s="17">
        <v>1</v>
      </c>
      <c r="J16" s="17">
        <v>0</v>
      </c>
      <c r="K16" s="17">
        <v>0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0</v>
      </c>
      <c r="R16" s="27">
        <v>0</v>
      </c>
      <c r="T16" s="26">
        <f>SUM(E16:R18)</f>
        <v>10</v>
      </c>
      <c r="U16" s="17">
        <v>0</v>
      </c>
      <c r="V16" s="17">
        <f>T16-U16</f>
        <v>10</v>
      </c>
      <c r="W16" s="27">
        <v>10</v>
      </c>
      <c r="X16" s="7"/>
      <c r="Y16" s="5"/>
    </row>
    <row r="17" spans="1:25" ht="13" customHeight="1" x14ac:dyDescent="0.3">
      <c r="A17" s="3"/>
      <c r="B17" s="16"/>
      <c r="C17" s="26">
        <v>2</v>
      </c>
      <c r="D17" s="17">
        <v>3</v>
      </c>
      <c r="E17" s="17">
        <v>0</v>
      </c>
      <c r="F17" s="17">
        <v>0</v>
      </c>
      <c r="G17" s="17">
        <v>0</v>
      </c>
      <c r="H17" s="17">
        <v>0</v>
      </c>
      <c r="I17" s="17">
        <v>0</v>
      </c>
      <c r="J17" s="17">
        <v>1</v>
      </c>
      <c r="K17" s="17">
        <v>0</v>
      </c>
      <c r="L17" s="17">
        <v>0</v>
      </c>
      <c r="M17" s="17">
        <v>0</v>
      </c>
      <c r="N17" s="17">
        <v>0</v>
      </c>
      <c r="O17" s="17">
        <v>0</v>
      </c>
      <c r="P17" s="17">
        <v>0</v>
      </c>
      <c r="Q17" s="17">
        <v>0</v>
      </c>
      <c r="R17" s="27">
        <v>0</v>
      </c>
      <c r="T17" s="43"/>
      <c r="U17" s="3"/>
      <c r="V17" s="44"/>
      <c r="W17" s="25"/>
      <c r="X17" s="7"/>
      <c r="Y17" s="5"/>
    </row>
    <row r="18" spans="1:25" ht="13" customHeight="1" x14ac:dyDescent="0.3">
      <c r="A18" s="3"/>
      <c r="B18" s="16"/>
      <c r="C18" s="26">
        <v>3</v>
      </c>
      <c r="D18" s="17">
        <v>3</v>
      </c>
      <c r="E18" s="17">
        <v>1</v>
      </c>
      <c r="F18" s="17">
        <v>0</v>
      </c>
      <c r="G18" s="17">
        <v>1</v>
      </c>
      <c r="H18" s="17">
        <v>0</v>
      </c>
      <c r="I18" s="17">
        <v>0</v>
      </c>
      <c r="J18" s="17">
        <v>0</v>
      </c>
      <c r="K18" s="17">
        <v>0</v>
      </c>
      <c r="L18" s="17">
        <v>0</v>
      </c>
      <c r="M18" s="17">
        <v>0</v>
      </c>
      <c r="N18" s="17">
        <v>0</v>
      </c>
      <c r="O18" s="17">
        <v>0</v>
      </c>
      <c r="P18" s="17">
        <v>0</v>
      </c>
      <c r="Q18" s="17">
        <v>1</v>
      </c>
      <c r="R18" s="27">
        <v>0</v>
      </c>
      <c r="T18" s="26">
        <f>SUM(E18:R18)</f>
        <v>3</v>
      </c>
      <c r="U18" s="17">
        <v>0</v>
      </c>
      <c r="V18" s="17">
        <f>T18-U18</f>
        <v>3</v>
      </c>
      <c r="W18" s="27">
        <v>3</v>
      </c>
      <c r="X18" s="7"/>
      <c r="Y18" s="5"/>
    </row>
    <row r="19" spans="1:25" ht="13" customHeight="1" x14ac:dyDescent="0.3">
      <c r="A19" s="3"/>
      <c r="B19" s="16"/>
      <c r="C19" s="26">
        <v>4</v>
      </c>
      <c r="D19" s="17">
        <v>3</v>
      </c>
      <c r="E19" s="17">
        <v>0</v>
      </c>
      <c r="F19" s="17">
        <v>1</v>
      </c>
      <c r="G19" s="17">
        <v>0</v>
      </c>
      <c r="H19" s="17">
        <v>1</v>
      </c>
      <c r="I19" s="17">
        <v>0</v>
      </c>
      <c r="J19" s="17">
        <v>0</v>
      </c>
      <c r="K19" s="17">
        <v>1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27">
        <v>1</v>
      </c>
      <c r="T19" s="43"/>
      <c r="U19" s="44"/>
      <c r="V19" s="44"/>
      <c r="W19" s="25"/>
      <c r="X19" s="7"/>
      <c r="Y19" s="5"/>
    </row>
    <row r="20" spans="1:25" ht="13" customHeight="1" x14ac:dyDescent="0.3">
      <c r="A20" s="3"/>
      <c r="B20" s="16"/>
      <c r="C20" s="90" t="s">
        <v>25</v>
      </c>
      <c r="D20" s="91"/>
      <c r="E20" s="81">
        <f t="shared" ref="E20:R20" si="2">SUM(E16:E19)</f>
        <v>1</v>
      </c>
      <c r="F20" s="81">
        <f t="shared" si="2"/>
        <v>1</v>
      </c>
      <c r="G20" s="81">
        <f t="shared" si="2"/>
        <v>1</v>
      </c>
      <c r="H20" s="81">
        <f t="shared" si="2"/>
        <v>1</v>
      </c>
      <c r="I20" s="81">
        <f t="shared" si="2"/>
        <v>1</v>
      </c>
      <c r="J20" s="81">
        <f t="shared" si="2"/>
        <v>1</v>
      </c>
      <c r="K20" s="81">
        <f t="shared" si="2"/>
        <v>1</v>
      </c>
      <c r="L20" s="81">
        <f t="shared" si="2"/>
        <v>1</v>
      </c>
      <c r="M20" s="81">
        <f t="shared" si="2"/>
        <v>1</v>
      </c>
      <c r="N20" s="81">
        <f t="shared" si="2"/>
        <v>1</v>
      </c>
      <c r="O20" s="81">
        <f t="shared" si="2"/>
        <v>1</v>
      </c>
      <c r="P20" s="81">
        <f t="shared" si="2"/>
        <v>1</v>
      </c>
      <c r="Q20" s="81">
        <f t="shared" si="2"/>
        <v>1</v>
      </c>
      <c r="R20" s="25">
        <f t="shared" si="2"/>
        <v>1</v>
      </c>
      <c r="T20" s="43"/>
      <c r="U20" s="44"/>
      <c r="V20" s="44"/>
      <c r="W20" s="25"/>
      <c r="X20" s="7"/>
      <c r="Y20" s="5"/>
    </row>
    <row r="21" spans="1:25" ht="13" customHeight="1" x14ac:dyDescent="0.3">
      <c r="A21" s="3"/>
      <c r="B21" s="16"/>
      <c r="C21" s="26" t="s">
        <v>37</v>
      </c>
      <c r="D21" s="17" t="s">
        <v>64</v>
      </c>
      <c r="E21" s="17">
        <v>1</v>
      </c>
      <c r="F21" s="17">
        <v>1</v>
      </c>
      <c r="G21" s="17">
        <v>1</v>
      </c>
      <c r="H21" s="17">
        <v>1</v>
      </c>
      <c r="I21" s="17">
        <v>1</v>
      </c>
      <c r="J21" s="17">
        <v>0</v>
      </c>
      <c r="K21" s="17">
        <v>1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27">
        <v>0</v>
      </c>
      <c r="T21" s="26">
        <f>SUM(E21:R23)</f>
        <v>10</v>
      </c>
      <c r="U21" s="17">
        <v>0</v>
      </c>
      <c r="V21" s="17">
        <f>T21-U21</f>
        <v>10</v>
      </c>
      <c r="W21" s="27">
        <v>10</v>
      </c>
      <c r="X21" s="7"/>
      <c r="Y21" s="5"/>
    </row>
    <row r="22" spans="1:25" ht="13" customHeight="1" x14ac:dyDescent="0.3">
      <c r="A22" s="3"/>
      <c r="B22" s="16"/>
      <c r="C22" s="26">
        <v>2</v>
      </c>
      <c r="D22" s="17">
        <v>4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27">
        <v>1</v>
      </c>
      <c r="T22" s="43"/>
      <c r="U22" s="44"/>
      <c r="V22" s="44"/>
      <c r="W22" s="25"/>
      <c r="X22" s="7"/>
      <c r="Y22" s="5"/>
    </row>
    <row r="23" spans="1:25" ht="13" customHeight="1" x14ac:dyDescent="0.3">
      <c r="A23" s="3"/>
      <c r="B23" s="16"/>
      <c r="C23" s="26">
        <v>3</v>
      </c>
      <c r="D23" s="17">
        <v>4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1</v>
      </c>
      <c r="M23" s="17">
        <v>0</v>
      </c>
      <c r="N23" s="17">
        <v>1</v>
      </c>
      <c r="O23" s="17">
        <v>0</v>
      </c>
      <c r="P23" s="17">
        <v>1</v>
      </c>
      <c r="Q23" s="17">
        <v>0</v>
      </c>
      <c r="R23" s="27">
        <v>0</v>
      </c>
      <c r="T23" s="26">
        <f>SUM(E23:R23)</f>
        <v>3</v>
      </c>
      <c r="U23" s="17">
        <v>0</v>
      </c>
      <c r="V23" s="17">
        <f>T23-U23</f>
        <v>3</v>
      </c>
      <c r="W23" s="27">
        <v>3</v>
      </c>
      <c r="X23" s="7"/>
      <c r="Y23" s="5"/>
    </row>
    <row r="24" spans="1:25" ht="13" customHeight="1" x14ac:dyDescent="0.3">
      <c r="A24" s="3"/>
      <c r="B24" s="16"/>
      <c r="C24" s="26">
        <v>4</v>
      </c>
      <c r="D24" s="17">
        <v>4</v>
      </c>
      <c r="E24" s="17">
        <v>0</v>
      </c>
      <c r="F24" s="17">
        <v>0</v>
      </c>
      <c r="G24" s="17">
        <v>0</v>
      </c>
      <c r="H24" s="17">
        <v>0</v>
      </c>
      <c r="I24" s="17">
        <v>0</v>
      </c>
      <c r="J24" s="17">
        <v>1</v>
      </c>
      <c r="K24" s="17">
        <v>0</v>
      </c>
      <c r="L24" s="17">
        <v>0</v>
      </c>
      <c r="M24" s="17">
        <v>1</v>
      </c>
      <c r="N24" s="17">
        <v>0</v>
      </c>
      <c r="O24" s="17">
        <v>1</v>
      </c>
      <c r="P24" s="17">
        <v>0</v>
      </c>
      <c r="Q24" s="17">
        <v>1</v>
      </c>
      <c r="R24" s="27">
        <v>0</v>
      </c>
      <c r="T24" s="43"/>
      <c r="U24" s="44"/>
      <c r="V24" s="44"/>
      <c r="W24" s="25"/>
      <c r="X24" s="7"/>
      <c r="Y24" s="5"/>
    </row>
    <row r="25" spans="1:25" ht="13" customHeight="1" x14ac:dyDescent="0.3">
      <c r="A25" s="3"/>
      <c r="B25" s="16"/>
      <c r="C25" s="90" t="s">
        <v>25</v>
      </c>
      <c r="D25" s="91"/>
      <c r="E25" s="81">
        <f t="shared" ref="E25:R25" si="3">SUM(E21:E24)</f>
        <v>1</v>
      </c>
      <c r="F25" s="81">
        <f t="shared" si="3"/>
        <v>1</v>
      </c>
      <c r="G25" s="81">
        <f t="shared" si="3"/>
        <v>1</v>
      </c>
      <c r="H25" s="81">
        <f t="shared" si="3"/>
        <v>1</v>
      </c>
      <c r="I25" s="81">
        <f t="shared" si="3"/>
        <v>1</v>
      </c>
      <c r="J25" s="81">
        <f t="shared" si="3"/>
        <v>1</v>
      </c>
      <c r="K25" s="81">
        <f t="shared" si="3"/>
        <v>1</v>
      </c>
      <c r="L25" s="81">
        <f t="shared" si="3"/>
        <v>1</v>
      </c>
      <c r="M25" s="81">
        <f t="shared" si="3"/>
        <v>1</v>
      </c>
      <c r="N25" s="81">
        <f t="shared" si="3"/>
        <v>1</v>
      </c>
      <c r="O25" s="81">
        <f t="shared" si="3"/>
        <v>1</v>
      </c>
      <c r="P25" s="81">
        <f t="shared" si="3"/>
        <v>1</v>
      </c>
      <c r="Q25" s="81">
        <f t="shared" si="3"/>
        <v>1</v>
      </c>
      <c r="R25" s="25">
        <f t="shared" si="3"/>
        <v>1</v>
      </c>
      <c r="T25" s="43"/>
      <c r="U25" s="44"/>
      <c r="V25" s="44"/>
      <c r="W25" s="25"/>
      <c r="X25" s="7"/>
      <c r="Y25" s="5"/>
    </row>
    <row r="26" spans="1:25" ht="13" customHeight="1" x14ac:dyDescent="0.3">
      <c r="A26" s="3"/>
      <c r="B26" s="16"/>
      <c r="C26" s="26" t="s">
        <v>37</v>
      </c>
      <c r="D26" s="17" t="s">
        <v>65</v>
      </c>
      <c r="E26" s="17">
        <v>0</v>
      </c>
      <c r="F26" s="17">
        <v>1</v>
      </c>
      <c r="G26" s="17">
        <v>1</v>
      </c>
      <c r="H26" s="17">
        <v>1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1</v>
      </c>
      <c r="P26" s="17">
        <v>1</v>
      </c>
      <c r="Q26" s="17">
        <v>1</v>
      </c>
      <c r="R26" s="27">
        <v>1</v>
      </c>
      <c r="T26" s="26">
        <f>SUM(E26:R28)</f>
        <v>10</v>
      </c>
      <c r="U26" s="17">
        <v>0</v>
      </c>
      <c r="V26" s="17">
        <f>T26-U26</f>
        <v>10</v>
      </c>
      <c r="W26" s="27">
        <v>10</v>
      </c>
      <c r="X26" s="7"/>
      <c r="Y26" s="5"/>
    </row>
    <row r="27" spans="1:25" ht="13" customHeight="1" x14ac:dyDescent="0.3">
      <c r="A27" s="3"/>
      <c r="B27" s="16"/>
      <c r="C27" s="26">
        <v>2</v>
      </c>
      <c r="D27" s="17">
        <v>5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27">
        <v>0</v>
      </c>
      <c r="T27" s="43"/>
      <c r="U27" s="44"/>
      <c r="V27" s="44"/>
      <c r="W27" s="25"/>
      <c r="X27" s="7"/>
      <c r="Y27" s="5"/>
    </row>
    <row r="28" spans="1:25" ht="13" customHeight="1" x14ac:dyDescent="0.3">
      <c r="A28" s="3"/>
      <c r="B28" s="16"/>
      <c r="C28" s="26">
        <v>3</v>
      </c>
      <c r="D28" s="17">
        <v>5</v>
      </c>
      <c r="E28" s="17">
        <v>0</v>
      </c>
      <c r="F28" s="17">
        <v>0</v>
      </c>
      <c r="G28" s="17">
        <v>0</v>
      </c>
      <c r="H28" s="17">
        <v>0</v>
      </c>
      <c r="I28" s="17">
        <v>1</v>
      </c>
      <c r="J28" s="17">
        <v>0</v>
      </c>
      <c r="K28" s="17">
        <v>1</v>
      </c>
      <c r="L28" s="17">
        <v>0</v>
      </c>
      <c r="M28" s="17">
        <v>1</v>
      </c>
      <c r="N28" s="17">
        <v>0</v>
      </c>
      <c r="O28" s="17">
        <v>0</v>
      </c>
      <c r="P28" s="17">
        <v>0</v>
      </c>
      <c r="Q28" s="17">
        <v>0</v>
      </c>
      <c r="R28" s="27">
        <v>0</v>
      </c>
      <c r="T28" s="26">
        <f>SUM(E28:R28)</f>
        <v>3</v>
      </c>
      <c r="U28" s="17">
        <v>0</v>
      </c>
      <c r="V28" s="17">
        <f>T28-U28</f>
        <v>3</v>
      </c>
      <c r="W28" s="27">
        <v>3</v>
      </c>
      <c r="X28" s="7"/>
      <c r="Y28" s="5"/>
    </row>
    <row r="29" spans="1:25" ht="13" customHeight="1" x14ac:dyDescent="0.3">
      <c r="A29" s="3"/>
      <c r="B29" s="16"/>
      <c r="C29" s="26">
        <v>4</v>
      </c>
      <c r="D29" s="17">
        <v>5</v>
      </c>
      <c r="E29" s="17">
        <v>1</v>
      </c>
      <c r="F29" s="17">
        <v>0</v>
      </c>
      <c r="G29" s="17">
        <v>0</v>
      </c>
      <c r="H29" s="17">
        <v>0</v>
      </c>
      <c r="I29" s="17">
        <v>0</v>
      </c>
      <c r="J29" s="17">
        <v>1</v>
      </c>
      <c r="K29" s="17">
        <v>0</v>
      </c>
      <c r="L29" s="17">
        <v>1</v>
      </c>
      <c r="M29" s="17">
        <v>0</v>
      </c>
      <c r="N29" s="17">
        <v>1</v>
      </c>
      <c r="O29" s="17">
        <v>0</v>
      </c>
      <c r="P29" s="17">
        <v>0</v>
      </c>
      <c r="Q29" s="17">
        <v>0</v>
      </c>
      <c r="R29" s="27">
        <v>0</v>
      </c>
      <c r="T29" s="43"/>
      <c r="U29" s="44"/>
      <c r="V29" s="44"/>
      <c r="W29" s="25"/>
      <c r="X29" s="7"/>
      <c r="Y29" s="5"/>
    </row>
    <row r="30" spans="1:25" ht="13" customHeight="1" x14ac:dyDescent="0.3">
      <c r="A30" s="3"/>
      <c r="B30" s="16"/>
      <c r="C30" s="92" t="s">
        <v>25</v>
      </c>
      <c r="D30" s="93"/>
      <c r="E30" s="35">
        <f t="shared" ref="E30:R30" si="4">SUM(E26:E29)</f>
        <v>1</v>
      </c>
      <c r="F30" s="35">
        <f t="shared" si="4"/>
        <v>1</v>
      </c>
      <c r="G30" s="35">
        <f t="shared" si="4"/>
        <v>1</v>
      </c>
      <c r="H30" s="35">
        <f t="shared" si="4"/>
        <v>1</v>
      </c>
      <c r="I30" s="35">
        <f t="shared" si="4"/>
        <v>1</v>
      </c>
      <c r="J30" s="35">
        <f t="shared" si="4"/>
        <v>1</v>
      </c>
      <c r="K30" s="35">
        <f t="shared" si="4"/>
        <v>1</v>
      </c>
      <c r="L30" s="35">
        <f t="shared" si="4"/>
        <v>1</v>
      </c>
      <c r="M30" s="35">
        <f t="shared" si="4"/>
        <v>1</v>
      </c>
      <c r="N30" s="35">
        <f t="shared" si="4"/>
        <v>1</v>
      </c>
      <c r="O30" s="35">
        <f t="shared" si="4"/>
        <v>1</v>
      </c>
      <c r="P30" s="35">
        <f t="shared" si="4"/>
        <v>1</v>
      </c>
      <c r="Q30" s="35">
        <f t="shared" si="4"/>
        <v>1</v>
      </c>
      <c r="R30" s="38">
        <f t="shared" si="4"/>
        <v>1</v>
      </c>
      <c r="T30" s="50"/>
      <c r="U30" s="53"/>
      <c r="V30" s="35"/>
      <c r="W30" s="38"/>
      <c r="X30" s="7"/>
      <c r="Y30" s="5"/>
    </row>
    <row r="31" spans="1:25" ht="13" customHeight="1" x14ac:dyDescent="0.3">
      <c r="A31" s="3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44"/>
      <c r="V31" s="44"/>
      <c r="W31" s="44"/>
      <c r="X31" s="7"/>
      <c r="Y31" s="5"/>
    </row>
    <row r="32" spans="1:25" ht="13" customHeight="1" x14ac:dyDescent="0.3">
      <c r="A32" s="3"/>
      <c r="B32" s="86" t="s">
        <v>47</v>
      </c>
      <c r="C32" s="28" t="s">
        <v>57</v>
      </c>
      <c r="D32" s="83" t="s">
        <v>60</v>
      </c>
      <c r="E32" s="29">
        <f>SUM(E6,E11,E16,E21,E26)</f>
        <v>2</v>
      </c>
      <c r="F32" s="29">
        <f t="shared" ref="F32:R32" si="5">SUM(F6,F11,F16,F21,F26)</f>
        <v>2</v>
      </c>
      <c r="G32" s="29">
        <f t="shared" si="5"/>
        <v>2</v>
      </c>
      <c r="H32" s="29">
        <f t="shared" si="5"/>
        <v>2</v>
      </c>
      <c r="I32" s="29">
        <f t="shared" si="5"/>
        <v>2</v>
      </c>
      <c r="J32" s="29">
        <f t="shared" si="5"/>
        <v>1</v>
      </c>
      <c r="K32" s="29">
        <f t="shared" si="5"/>
        <v>1</v>
      </c>
      <c r="L32" s="29">
        <f t="shared" si="5"/>
        <v>2</v>
      </c>
      <c r="M32" s="29">
        <f t="shared" si="5"/>
        <v>2</v>
      </c>
      <c r="N32" s="29">
        <f t="shared" si="5"/>
        <v>2</v>
      </c>
      <c r="O32" s="29">
        <f t="shared" si="5"/>
        <v>2</v>
      </c>
      <c r="P32" s="29">
        <f t="shared" si="5"/>
        <v>2</v>
      </c>
      <c r="Q32" s="29">
        <f t="shared" si="5"/>
        <v>1</v>
      </c>
      <c r="R32" s="30">
        <f t="shared" si="5"/>
        <v>1</v>
      </c>
      <c r="T32" s="49"/>
      <c r="U32" s="105" t="s">
        <v>22</v>
      </c>
      <c r="V32" s="77"/>
      <c r="W32" s="78"/>
      <c r="X32" s="7"/>
      <c r="Y32" s="5"/>
    </row>
    <row r="33" spans="1:25" ht="13" customHeight="1" x14ac:dyDescent="0.3">
      <c r="A33" s="3"/>
      <c r="B33" s="86"/>
      <c r="C33" s="22"/>
      <c r="D33" s="85" t="s">
        <v>61</v>
      </c>
      <c r="E33" s="82">
        <v>2</v>
      </c>
      <c r="F33" s="82">
        <v>2</v>
      </c>
      <c r="G33" s="82">
        <v>2</v>
      </c>
      <c r="H33" s="82">
        <v>2</v>
      </c>
      <c r="I33" s="82">
        <v>2</v>
      </c>
      <c r="J33" s="82">
        <v>1</v>
      </c>
      <c r="K33" s="82">
        <v>1</v>
      </c>
      <c r="L33" s="82">
        <v>2</v>
      </c>
      <c r="M33" s="82">
        <v>2</v>
      </c>
      <c r="N33" s="82">
        <v>2</v>
      </c>
      <c r="O33" s="82">
        <v>2</v>
      </c>
      <c r="P33" s="82">
        <v>2</v>
      </c>
      <c r="Q33" s="82">
        <v>1</v>
      </c>
      <c r="R33" s="21">
        <v>1</v>
      </c>
      <c r="T33" s="51"/>
      <c r="U33" s="37">
        <f>SUM(U6,U8,U11,U13,U16,U18,U21,U23,U26,U28)</f>
        <v>2</v>
      </c>
      <c r="V33" s="79"/>
      <c r="W33" s="52"/>
      <c r="X33" s="7"/>
      <c r="Y33" s="7"/>
    </row>
    <row r="34" spans="1:25" ht="13" customHeight="1" x14ac:dyDescent="0.3">
      <c r="A34" s="3"/>
      <c r="B34" s="16"/>
      <c r="C34" s="19" t="s">
        <v>58</v>
      </c>
      <c r="D34" s="84"/>
      <c r="E34" s="17">
        <f>SUM(E7,E12,E17,E22,E27)</f>
        <v>1</v>
      </c>
      <c r="F34" s="17">
        <f t="shared" ref="F34:N34" si="6">SUM(F7,F12,F17,F22,F27)</f>
        <v>1</v>
      </c>
      <c r="G34" s="17">
        <f t="shared" si="6"/>
        <v>1</v>
      </c>
      <c r="H34" s="17">
        <f t="shared" si="6"/>
        <v>1</v>
      </c>
      <c r="I34" s="17">
        <f t="shared" si="6"/>
        <v>1</v>
      </c>
      <c r="J34" s="17">
        <f t="shared" si="6"/>
        <v>1</v>
      </c>
      <c r="K34" s="17">
        <f t="shared" si="6"/>
        <v>1</v>
      </c>
      <c r="L34" s="17">
        <f t="shared" si="6"/>
        <v>1</v>
      </c>
      <c r="M34" s="17">
        <f t="shared" si="6"/>
        <v>1</v>
      </c>
      <c r="N34" s="17">
        <f t="shared" si="6"/>
        <v>1</v>
      </c>
      <c r="O34" s="17">
        <f>SUM(O7,O12,O17,O22,O27)</f>
        <v>1</v>
      </c>
      <c r="P34" s="17">
        <f t="shared" ref="P34:R34" si="7">SUM(P7,P12,P17,P22,P27)</f>
        <v>1</v>
      </c>
      <c r="Q34" s="17">
        <f t="shared" si="7"/>
        <v>1</v>
      </c>
      <c r="R34" s="20">
        <f t="shared" si="7"/>
        <v>1</v>
      </c>
      <c r="S34" s="16"/>
      <c r="T34" s="16"/>
      <c r="U34" s="18"/>
      <c r="V34" s="16"/>
      <c r="W34" s="16"/>
      <c r="X34" s="3"/>
      <c r="Y34" s="3"/>
    </row>
    <row r="35" spans="1:25" ht="13" customHeight="1" x14ac:dyDescent="0.3">
      <c r="A35" s="3"/>
      <c r="B35" s="16"/>
      <c r="C35" s="22"/>
      <c r="D35" s="85"/>
      <c r="E35" s="82">
        <v>1</v>
      </c>
      <c r="F35" s="82">
        <v>1</v>
      </c>
      <c r="G35" s="82">
        <v>1</v>
      </c>
      <c r="H35" s="82">
        <v>1</v>
      </c>
      <c r="I35" s="82">
        <v>1</v>
      </c>
      <c r="J35" s="82">
        <v>1</v>
      </c>
      <c r="K35" s="82">
        <v>1</v>
      </c>
      <c r="L35" s="82">
        <v>1</v>
      </c>
      <c r="M35" s="82">
        <v>1</v>
      </c>
      <c r="N35" s="82">
        <v>1</v>
      </c>
      <c r="O35" s="82">
        <v>1</v>
      </c>
      <c r="P35" s="82">
        <v>1</v>
      </c>
      <c r="Q35" s="82">
        <v>1</v>
      </c>
      <c r="R35" s="21">
        <v>1</v>
      </c>
      <c r="S35" s="16"/>
      <c r="T35" s="16"/>
      <c r="X35" s="39"/>
      <c r="Y35" s="3"/>
    </row>
    <row r="36" spans="1:25" ht="13" customHeight="1" x14ac:dyDescent="0.3">
      <c r="A36" s="3"/>
      <c r="B36" s="16"/>
      <c r="C36" s="19" t="s">
        <v>59</v>
      </c>
      <c r="D36" s="84"/>
      <c r="E36" s="17">
        <f>SUM(E8,E13,E18,E23,E28)</f>
        <v>1</v>
      </c>
      <c r="F36" s="17">
        <f t="shared" ref="F36:R36" si="8">SUM(F8,F13,F18,F23,F28)</f>
        <v>1</v>
      </c>
      <c r="G36" s="17">
        <f t="shared" si="8"/>
        <v>1</v>
      </c>
      <c r="H36" s="17">
        <f t="shared" si="8"/>
        <v>1</v>
      </c>
      <c r="I36" s="17">
        <f t="shared" si="8"/>
        <v>1</v>
      </c>
      <c r="J36" s="17">
        <f t="shared" si="8"/>
        <v>1</v>
      </c>
      <c r="K36" s="17">
        <f t="shared" si="8"/>
        <v>1</v>
      </c>
      <c r="L36" s="17">
        <f t="shared" si="8"/>
        <v>1</v>
      </c>
      <c r="M36" s="17">
        <f t="shared" si="8"/>
        <v>1</v>
      </c>
      <c r="N36" s="17">
        <f t="shared" si="8"/>
        <v>1</v>
      </c>
      <c r="O36" s="17">
        <f t="shared" si="8"/>
        <v>1</v>
      </c>
      <c r="P36" s="17">
        <f t="shared" si="8"/>
        <v>1</v>
      </c>
      <c r="Q36" s="17">
        <f t="shared" si="8"/>
        <v>1</v>
      </c>
      <c r="R36" s="20">
        <f t="shared" si="8"/>
        <v>1</v>
      </c>
      <c r="S36" s="16"/>
      <c r="T36" s="16"/>
      <c r="X36" s="16"/>
      <c r="Y36" s="3"/>
    </row>
    <row r="37" spans="1:25" ht="13" customHeight="1" x14ac:dyDescent="0.3">
      <c r="A37" s="3"/>
      <c r="B37" s="9"/>
      <c r="C37" s="23"/>
      <c r="D37" s="54"/>
      <c r="E37" s="24">
        <v>1</v>
      </c>
      <c r="F37" s="24">
        <v>1</v>
      </c>
      <c r="G37" s="24">
        <v>1</v>
      </c>
      <c r="H37" s="24">
        <v>1</v>
      </c>
      <c r="I37" s="24">
        <v>1</v>
      </c>
      <c r="J37" s="24">
        <v>1</v>
      </c>
      <c r="K37" s="24">
        <v>1</v>
      </c>
      <c r="L37" s="24">
        <v>1</v>
      </c>
      <c r="M37" s="24">
        <v>1</v>
      </c>
      <c r="N37" s="24">
        <v>1</v>
      </c>
      <c r="O37" s="24">
        <v>1</v>
      </c>
      <c r="P37" s="24">
        <v>1</v>
      </c>
      <c r="Q37" s="24">
        <v>1</v>
      </c>
      <c r="R37" s="31">
        <v>1</v>
      </c>
      <c r="S37" s="8"/>
      <c r="T37" s="8"/>
      <c r="U37" s="18"/>
      <c r="V37" s="18"/>
      <c r="W37" s="18"/>
      <c r="X37" s="3"/>
      <c r="Y37" s="3"/>
    </row>
    <row r="38" spans="1:25" ht="13" customHeight="1" x14ac:dyDescent="0.3">
      <c r="A38" s="1"/>
      <c r="B38" s="9"/>
      <c r="C38" s="9"/>
      <c r="D38" s="9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18"/>
      <c r="V38" s="18"/>
      <c r="W38" s="18"/>
      <c r="X38" s="3"/>
      <c r="Y38" s="3"/>
    </row>
    <row r="39" spans="1:25" ht="13" customHeight="1" x14ac:dyDescent="0.3">
      <c r="A39" s="1"/>
      <c r="B39" s="104" t="s">
        <v>48</v>
      </c>
      <c r="C39" s="12"/>
      <c r="D39" s="12"/>
      <c r="E39" s="13" t="s">
        <v>12</v>
      </c>
      <c r="F39" s="13" t="s">
        <v>13</v>
      </c>
      <c r="G39" s="13" t="s">
        <v>14</v>
      </c>
      <c r="H39" s="13" t="s">
        <v>15</v>
      </c>
      <c r="I39" s="13" t="s">
        <v>16</v>
      </c>
      <c r="J39" s="13" t="s">
        <v>17</v>
      </c>
      <c r="K39" s="13" t="s">
        <v>18</v>
      </c>
      <c r="L39" s="13" t="s">
        <v>12</v>
      </c>
      <c r="M39" s="13" t="s">
        <v>13</v>
      </c>
      <c r="N39" s="13" t="s">
        <v>14</v>
      </c>
      <c r="O39" s="13" t="s">
        <v>15</v>
      </c>
      <c r="P39" s="13" t="s">
        <v>16</v>
      </c>
      <c r="Q39" s="13" t="s">
        <v>17</v>
      </c>
      <c r="R39" s="13" t="s">
        <v>18</v>
      </c>
      <c r="S39" s="8"/>
      <c r="T39" s="8"/>
      <c r="U39" s="18"/>
      <c r="V39" s="18"/>
      <c r="W39" s="18"/>
      <c r="X39" s="3"/>
      <c r="Y39" s="3"/>
    </row>
    <row r="40" spans="1:25" ht="13" customHeight="1" x14ac:dyDescent="0.3">
      <c r="B40" s="104"/>
      <c r="C40" s="12"/>
      <c r="D40" s="13" t="s">
        <v>19</v>
      </c>
      <c r="E40" s="2" t="str">
        <f t="shared" ref="E40:R40" si="9">CHOOSE(MATCH(1,E6:E9,0), "D", "L","N","")</f>
        <v>D</v>
      </c>
      <c r="F40" s="2" t="str">
        <f t="shared" si="9"/>
        <v>N</v>
      </c>
      <c r="G40" s="2" t="str">
        <f t="shared" si="9"/>
        <v/>
      </c>
      <c r="H40" s="2" t="str">
        <f t="shared" si="9"/>
        <v>L</v>
      </c>
      <c r="I40" s="2" t="str">
        <f t="shared" si="9"/>
        <v>L</v>
      </c>
      <c r="J40" s="45" t="str">
        <f t="shared" si="9"/>
        <v>D</v>
      </c>
      <c r="K40" s="45" t="str">
        <f t="shared" si="9"/>
        <v>L</v>
      </c>
      <c r="L40" s="46" t="str">
        <f t="shared" si="9"/>
        <v>L</v>
      </c>
      <c r="M40" s="2" t="str">
        <f t="shared" si="9"/>
        <v>D</v>
      </c>
      <c r="N40" s="2" t="str">
        <f t="shared" si="9"/>
        <v>L</v>
      </c>
      <c r="O40" s="2" t="str">
        <f t="shared" si="9"/>
        <v>N</v>
      </c>
      <c r="P40" s="2" t="str">
        <f t="shared" si="9"/>
        <v/>
      </c>
      <c r="Q40" s="45" t="str">
        <f t="shared" si="9"/>
        <v>L</v>
      </c>
      <c r="R40" s="45" t="str">
        <f t="shared" si="9"/>
        <v>N</v>
      </c>
      <c r="S40" s="4"/>
      <c r="T40" s="4"/>
      <c r="U40" s="18"/>
      <c r="V40" s="18"/>
      <c r="W40" s="18"/>
      <c r="X40" s="3"/>
      <c r="Y40" s="1"/>
    </row>
    <row r="41" spans="1:25" ht="13" customHeight="1" x14ac:dyDescent="0.3">
      <c r="C41" s="12"/>
      <c r="D41" s="13" t="s">
        <v>20</v>
      </c>
      <c r="E41" s="2" t="str">
        <f t="shared" ref="E41:R41" si="10">CHOOSE(MATCH(1,E11:E14,0), "D", "L","N","")</f>
        <v>L</v>
      </c>
      <c r="F41" s="2" t="str">
        <f t="shared" si="10"/>
        <v>L</v>
      </c>
      <c r="G41" s="2" t="str">
        <f t="shared" si="10"/>
        <v>L</v>
      </c>
      <c r="H41" s="2" t="str">
        <f t="shared" si="10"/>
        <v>N</v>
      </c>
      <c r="I41" s="2" t="str">
        <f t="shared" si="10"/>
        <v/>
      </c>
      <c r="J41" s="45" t="str">
        <f t="shared" si="10"/>
        <v>N</v>
      </c>
      <c r="K41" s="45" t="str">
        <f t="shared" si="10"/>
        <v/>
      </c>
      <c r="L41" s="46" t="str">
        <f t="shared" si="10"/>
        <v>D</v>
      </c>
      <c r="M41" s="2" t="str">
        <f t="shared" si="10"/>
        <v>L</v>
      </c>
      <c r="N41" s="2" t="str">
        <f t="shared" si="10"/>
        <v>D</v>
      </c>
      <c r="O41" s="2" t="str">
        <f t="shared" si="10"/>
        <v>L</v>
      </c>
      <c r="P41" s="2" t="str">
        <f t="shared" si="10"/>
        <v>L</v>
      </c>
      <c r="Q41" s="45" t="str">
        <f t="shared" si="10"/>
        <v/>
      </c>
      <c r="R41" s="45" t="str">
        <f t="shared" si="10"/>
        <v/>
      </c>
      <c r="S41" s="4"/>
      <c r="T41" s="4"/>
      <c r="U41" s="18"/>
      <c r="V41" s="18"/>
      <c r="W41" s="18"/>
      <c r="X41" s="3"/>
      <c r="Y41" s="1"/>
    </row>
    <row r="42" spans="1:25" x14ac:dyDescent="0.3">
      <c r="C42" s="12"/>
      <c r="D42" s="13" t="s">
        <v>9</v>
      </c>
      <c r="E42" s="2" t="str">
        <f t="shared" ref="E42:R42" si="11">CHOOSE(MATCH(1,E16:E19,0), "D", "L","N","")</f>
        <v>N</v>
      </c>
      <c r="F42" s="2" t="str">
        <f t="shared" si="11"/>
        <v/>
      </c>
      <c r="G42" s="2" t="str">
        <f t="shared" si="11"/>
        <v>N</v>
      </c>
      <c r="H42" s="2" t="str">
        <f t="shared" si="11"/>
        <v/>
      </c>
      <c r="I42" s="2" t="str">
        <f t="shared" si="11"/>
        <v>D</v>
      </c>
      <c r="J42" s="45" t="str">
        <f t="shared" si="11"/>
        <v>L</v>
      </c>
      <c r="K42" s="45" t="str">
        <f t="shared" si="11"/>
        <v/>
      </c>
      <c r="L42" s="46" t="str">
        <f t="shared" si="11"/>
        <v>D</v>
      </c>
      <c r="M42" s="2" t="str">
        <f t="shared" si="11"/>
        <v>D</v>
      </c>
      <c r="N42" s="2" t="str">
        <f t="shared" si="11"/>
        <v>D</v>
      </c>
      <c r="O42" s="2" t="str">
        <f t="shared" si="11"/>
        <v>D</v>
      </c>
      <c r="P42" s="2" t="str">
        <f t="shared" si="11"/>
        <v>D</v>
      </c>
      <c r="Q42" s="45" t="str">
        <f t="shared" si="11"/>
        <v>N</v>
      </c>
      <c r="R42" s="45" t="str">
        <f t="shared" si="11"/>
        <v/>
      </c>
      <c r="S42" s="4"/>
      <c r="T42" s="4"/>
      <c r="U42" s="10"/>
      <c r="V42" s="10"/>
      <c r="W42" s="10"/>
      <c r="X42" s="3"/>
      <c r="Y42" s="1"/>
    </row>
    <row r="43" spans="1:25" x14ac:dyDescent="0.3">
      <c r="C43" s="76"/>
      <c r="D43" s="13" t="s">
        <v>10</v>
      </c>
      <c r="E43" s="2" t="str">
        <f t="shared" ref="E43:R43" si="12">CHOOSE(MATCH(1,E21:E24,0), "D", "L","N","")</f>
        <v>D</v>
      </c>
      <c r="F43" s="2" t="str">
        <f t="shared" si="12"/>
        <v>D</v>
      </c>
      <c r="G43" s="2" t="str">
        <f t="shared" si="12"/>
        <v>D</v>
      </c>
      <c r="H43" s="2" t="str">
        <f t="shared" si="12"/>
        <v>D</v>
      </c>
      <c r="I43" s="2" t="str">
        <f t="shared" si="12"/>
        <v>D</v>
      </c>
      <c r="J43" s="45" t="str">
        <f t="shared" si="12"/>
        <v/>
      </c>
      <c r="K43" s="45" t="str">
        <f t="shared" si="12"/>
        <v>D</v>
      </c>
      <c r="L43" s="46" t="str">
        <f t="shared" si="12"/>
        <v>N</v>
      </c>
      <c r="M43" s="2" t="str">
        <f t="shared" si="12"/>
        <v/>
      </c>
      <c r="N43" s="2" t="str">
        <f t="shared" si="12"/>
        <v>N</v>
      </c>
      <c r="O43" s="2" t="str">
        <f t="shared" si="12"/>
        <v/>
      </c>
      <c r="P43" s="2" t="str">
        <f t="shared" si="12"/>
        <v>N</v>
      </c>
      <c r="Q43" s="45" t="str">
        <f t="shared" si="12"/>
        <v/>
      </c>
      <c r="R43" s="45" t="str">
        <f t="shared" si="12"/>
        <v>L</v>
      </c>
      <c r="S43" s="4"/>
      <c r="T43" s="4"/>
      <c r="U43" s="10"/>
      <c r="V43" s="10"/>
      <c r="W43" s="10"/>
      <c r="X43" s="3"/>
      <c r="Y43" s="1"/>
    </row>
    <row r="44" spans="1:25" x14ac:dyDescent="0.3">
      <c r="C44" s="76"/>
      <c r="D44" s="13" t="s">
        <v>11</v>
      </c>
      <c r="E44" s="2" t="str">
        <f t="shared" ref="E44:R44" si="13">CHOOSE(MATCH(1,E26:E29,0), "D", "L","N","")</f>
        <v/>
      </c>
      <c r="F44" s="2" t="str">
        <f t="shared" si="13"/>
        <v>D</v>
      </c>
      <c r="G44" s="2" t="str">
        <f t="shared" si="13"/>
        <v>D</v>
      </c>
      <c r="H44" s="2" t="str">
        <f t="shared" si="13"/>
        <v>D</v>
      </c>
      <c r="I44" s="2" t="str">
        <f t="shared" si="13"/>
        <v>N</v>
      </c>
      <c r="J44" s="45" t="str">
        <f t="shared" si="13"/>
        <v/>
      </c>
      <c r="K44" s="45" t="str">
        <f t="shared" si="13"/>
        <v>N</v>
      </c>
      <c r="L44" s="46" t="str">
        <f t="shared" si="13"/>
        <v/>
      </c>
      <c r="M44" s="2" t="str">
        <f t="shared" si="13"/>
        <v>N</v>
      </c>
      <c r="N44" s="2" t="str">
        <f t="shared" si="13"/>
        <v/>
      </c>
      <c r="O44" s="2" t="str">
        <f t="shared" si="13"/>
        <v>D</v>
      </c>
      <c r="P44" s="2" t="str">
        <f t="shared" si="13"/>
        <v>D</v>
      </c>
      <c r="Q44" s="45" t="str">
        <f t="shared" si="13"/>
        <v>D</v>
      </c>
      <c r="R44" s="45" t="str">
        <f t="shared" si="13"/>
        <v>D</v>
      </c>
      <c r="S44" s="4"/>
      <c r="T44" s="4"/>
      <c r="U44" s="10"/>
      <c r="V44" s="10"/>
      <c r="W44" s="10"/>
      <c r="X44" s="3"/>
      <c r="Y44" s="1"/>
    </row>
    <row r="45" spans="1:25" x14ac:dyDescent="0.3">
      <c r="A45" s="1"/>
      <c r="B45" s="8"/>
      <c r="S45" s="8"/>
      <c r="T45" s="8"/>
      <c r="U45" s="10"/>
      <c r="V45" s="10"/>
      <c r="W45" s="11"/>
      <c r="X45" s="1"/>
      <c r="Y45" s="1"/>
    </row>
    <row r="46" spans="1:25" x14ac:dyDescent="0.3">
      <c r="A46" s="1"/>
      <c r="B46" s="7"/>
      <c r="S46" s="7"/>
      <c r="T46" s="7"/>
      <c r="U46" s="3"/>
      <c r="V46" s="3"/>
      <c r="W46" s="1"/>
      <c r="X46" s="1"/>
      <c r="Y46" s="1"/>
    </row>
    <row r="47" spans="1:25" x14ac:dyDescent="0.3">
      <c r="A47" s="1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3"/>
      <c r="V47" s="3"/>
      <c r="W47" s="1"/>
      <c r="X47" s="1"/>
      <c r="Y47" s="1"/>
    </row>
    <row r="48" spans="1:25" x14ac:dyDescent="0.3">
      <c r="A48" s="1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"/>
      <c r="X48" s="1"/>
      <c r="Y48" s="1"/>
    </row>
    <row r="49" spans="1:25" x14ac:dyDescent="0.3">
      <c r="A49" s="1"/>
      <c r="B49" s="1"/>
      <c r="C49" s="1"/>
      <c r="D49" s="1"/>
      <c r="S49" s="1"/>
      <c r="T49" s="1"/>
      <c r="U49" s="1"/>
      <c r="V49" s="1"/>
      <c r="W49" s="1"/>
      <c r="X49" s="1"/>
      <c r="Y49" s="1"/>
    </row>
  </sheetData>
  <mergeCells count="9">
    <mergeCell ref="B39:B40"/>
    <mergeCell ref="B32:B33"/>
    <mergeCell ref="C5:D5"/>
    <mergeCell ref="B4:B5"/>
    <mergeCell ref="C10:D10"/>
    <mergeCell ref="C15:D15"/>
    <mergeCell ref="C20:D20"/>
    <mergeCell ref="C25:D25"/>
    <mergeCell ref="C30:D30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F10:R10 T8 T13 T18 T23 T28 F40:R40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5:Y41"/>
  <sheetViews>
    <sheetView showGridLines="0" tabSelected="1" topLeftCell="A3" zoomScale="78" zoomScaleNormal="78" workbookViewId="0">
      <selection activeCell="AC33" sqref="AC33"/>
    </sheetView>
  </sheetViews>
  <sheetFormatPr defaultRowHeight="14" x14ac:dyDescent="0.3"/>
  <cols>
    <col min="1" max="1" width="6.58203125" style="5" customWidth="1"/>
    <col min="2" max="2" width="5" style="5" customWidth="1"/>
    <col min="3" max="3" width="10.4140625" style="5" customWidth="1"/>
    <col min="4" max="16" width="5.58203125" style="5" customWidth="1"/>
    <col min="17" max="17" width="3.08203125" style="5" customWidth="1"/>
    <col min="18" max="27" width="4.25" style="5" customWidth="1"/>
    <col min="28" max="28" width="4.58203125" style="5" customWidth="1"/>
    <col min="29" max="31" width="6.58203125" style="5" customWidth="1"/>
    <col min="32" max="16384" width="8.6640625" style="5"/>
  </cols>
  <sheetData>
    <row r="5" spans="3:25" x14ac:dyDescent="0.3">
      <c r="C5" s="99" t="s">
        <v>49</v>
      </c>
      <c r="D5" s="55" t="s">
        <v>51</v>
      </c>
      <c r="E5" s="56"/>
      <c r="F5" s="56" t="s">
        <v>30</v>
      </c>
      <c r="G5" s="56" t="s">
        <v>0</v>
      </c>
      <c r="H5" s="56" t="s">
        <v>1</v>
      </c>
      <c r="I5" s="56" t="s">
        <v>2</v>
      </c>
      <c r="J5" s="56" t="s">
        <v>3</v>
      </c>
      <c r="K5" s="56" t="s">
        <v>4</v>
      </c>
      <c r="L5" s="56" t="s">
        <v>5</v>
      </c>
      <c r="M5" s="56" t="s">
        <v>6</v>
      </c>
      <c r="N5" s="56" t="s">
        <v>7</v>
      </c>
      <c r="O5" s="56" t="s">
        <v>8</v>
      </c>
      <c r="P5" s="57" t="s">
        <v>53</v>
      </c>
      <c r="R5" s="55" t="s">
        <v>40</v>
      </c>
      <c r="S5" s="57" t="s">
        <v>41</v>
      </c>
      <c r="T5" s="48"/>
      <c r="X5" s="48"/>
      <c r="Y5" s="48"/>
    </row>
    <row r="6" spans="3:25" x14ac:dyDescent="0.3">
      <c r="C6" s="99"/>
      <c r="D6" s="58" t="s">
        <v>32</v>
      </c>
      <c r="E6" s="59" t="s">
        <v>31</v>
      </c>
      <c r="F6" s="59">
        <v>0</v>
      </c>
      <c r="G6" s="59">
        <v>0</v>
      </c>
      <c r="H6" s="59">
        <v>0</v>
      </c>
      <c r="I6" s="59">
        <v>0</v>
      </c>
      <c r="J6" s="59">
        <v>0</v>
      </c>
      <c r="K6" s="59">
        <v>0</v>
      </c>
      <c r="L6" s="59">
        <v>0</v>
      </c>
      <c r="M6" s="59">
        <v>1</v>
      </c>
      <c r="N6" s="59">
        <v>1</v>
      </c>
      <c r="O6" s="59">
        <v>1</v>
      </c>
      <c r="P6" s="27">
        <f>SUM(F6:O6)</f>
        <v>3</v>
      </c>
      <c r="R6" s="26">
        <v>3</v>
      </c>
      <c r="S6" s="27">
        <v>4</v>
      </c>
      <c r="T6" s="48"/>
      <c r="X6" s="48"/>
      <c r="Y6" s="48"/>
    </row>
    <row r="7" spans="3:25" x14ac:dyDescent="0.3">
      <c r="D7" s="58" t="s">
        <v>33</v>
      </c>
      <c r="E7" s="59" t="s">
        <v>31</v>
      </c>
      <c r="F7" s="59">
        <v>0</v>
      </c>
      <c r="G7" s="59">
        <v>0</v>
      </c>
      <c r="H7" s="59">
        <v>0</v>
      </c>
      <c r="I7" s="59">
        <v>0</v>
      </c>
      <c r="J7" s="59">
        <v>1</v>
      </c>
      <c r="K7" s="59">
        <v>1</v>
      </c>
      <c r="L7" s="59">
        <v>1</v>
      </c>
      <c r="M7" s="59">
        <v>0</v>
      </c>
      <c r="N7" s="59">
        <v>0</v>
      </c>
      <c r="O7" s="59">
        <v>0</v>
      </c>
      <c r="P7" s="27">
        <f>SUM(F7:O7)</f>
        <v>3</v>
      </c>
      <c r="R7" s="26">
        <v>3</v>
      </c>
      <c r="S7" s="27">
        <v>4</v>
      </c>
      <c r="T7" s="48"/>
      <c r="U7" s="48"/>
      <c r="V7" s="48"/>
      <c r="W7" s="48"/>
      <c r="X7" s="48"/>
      <c r="Y7" s="48"/>
    </row>
    <row r="8" spans="3:25" x14ac:dyDescent="0.3">
      <c r="D8" s="60"/>
      <c r="E8" s="61" t="s">
        <v>39</v>
      </c>
      <c r="F8" s="61">
        <f>F6+F7</f>
        <v>0</v>
      </c>
      <c r="G8" s="61">
        <f t="shared" ref="G8:O8" si="0">G6+G7</f>
        <v>0</v>
      </c>
      <c r="H8" s="61">
        <f t="shared" si="0"/>
        <v>0</v>
      </c>
      <c r="I8" s="61">
        <f t="shared" si="0"/>
        <v>0</v>
      </c>
      <c r="J8" s="61">
        <f t="shared" si="0"/>
        <v>1</v>
      </c>
      <c r="K8" s="61">
        <f t="shared" si="0"/>
        <v>1</v>
      </c>
      <c r="L8" s="61">
        <f t="shared" si="0"/>
        <v>1</v>
      </c>
      <c r="M8" s="61">
        <f t="shared" si="0"/>
        <v>1</v>
      </c>
      <c r="N8" s="61">
        <f t="shared" si="0"/>
        <v>1</v>
      </c>
      <c r="O8" s="61">
        <f t="shared" si="0"/>
        <v>1</v>
      </c>
      <c r="P8" s="62"/>
      <c r="R8" s="60"/>
      <c r="S8" s="62"/>
      <c r="T8" s="48"/>
      <c r="U8" s="48"/>
      <c r="V8" s="48"/>
      <c r="W8" s="48"/>
      <c r="X8" s="48"/>
      <c r="Y8" s="48"/>
    </row>
    <row r="9" spans="3:25" x14ac:dyDescent="0.3">
      <c r="D9" s="26" t="s">
        <v>32</v>
      </c>
      <c r="E9" s="17" t="s">
        <v>34</v>
      </c>
      <c r="F9" s="17">
        <v>1</v>
      </c>
      <c r="G9" s="17">
        <v>1</v>
      </c>
      <c r="H9" s="17">
        <v>1</v>
      </c>
      <c r="I9" s="17">
        <v>1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27">
        <f>SUM(F9:O9)</f>
        <v>4</v>
      </c>
      <c r="R9" s="26">
        <v>3</v>
      </c>
      <c r="S9" s="27">
        <v>4</v>
      </c>
      <c r="T9" s="48"/>
      <c r="U9" s="48"/>
      <c r="V9" s="48"/>
      <c r="W9" s="48"/>
      <c r="X9" s="48"/>
      <c r="Y9" s="48"/>
    </row>
    <row r="10" spans="3:25" x14ac:dyDescent="0.3">
      <c r="D10" s="26" t="s">
        <v>33</v>
      </c>
      <c r="E10" s="17" t="s">
        <v>34</v>
      </c>
      <c r="F10" s="17">
        <v>0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1</v>
      </c>
      <c r="N10" s="17">
        <v>1</v>
      </c>
      <c r="O10" s="17">
        <v>1</v>
      </c>
      <c r="P10" s="27">
        <f>SUM(F10:O10)</f>
        <v>3</v>
      </c>
      <c r="R10" s="26">
        <v>3</v>
      </c>
      <c r="S10" s="27">
        <v>4</v>
      </c>
      <c r="T10" s="48"/>
      <c r="U10" s="48"/>
      <c r="V10" s="48"/>
      <c r="W10" s="48"/>
      <c r="X10" s="48"/>
      <c r="Y10" s="48"/>
    </row>
    <row r="11" spans="3:25" x14ac:dyDescent="0.3">
      <c r="D11" s="60"/>
      <c r="E11" s="61"/>
      <c r="F11" s="61">
        <f>F9+F10</f>
        <v>1</v>
      </c>
      <c r="G11" s="61">
        <f t="shared" ref="G11:O11" si="1">G9+G10</f>
        <v>1</v>
      </c>
      <c r="H11" s="61">
        <f t="shared" si="1"/>
        <v>1</v>
      </c>
      <c r="I11" s="61">
        <f t="shared" si="1"/>
        <v>1</v>
      </c>
      <c r="J11" s="61">
        <f t="shared" si="1"/>
        <v>0</v>
      </c>
      <c r="K11" s="61">
        <f t="shared" si="1"/>
        <v>0</v>
      </c>
      <c r="L11" s="61">
        <f t="shared" si="1"/>
        <v>0</v>
      </c>
      <c r="M11" s="61">
        <f t="shared" si="1"/>
        <v>1</v>
      </c>
      <c r="N11" s="61">
        <f t="shared" si="1"/>
        <v>1</v>
      </c>
      <c r="O11" s="61">
        <f t="shared" si="1"/>
        <v>1</v>
      </c>
      <c r="P11" s="62"/>
      <c r="R11" s="60"/>
      <c r="S11" s="62"/>
      <c r="T11" s="48"/>
      <c r="U11" s="48"/>
      <c r="V11" s="48"/>
      <c r="W11" s="48"/>
      <c r="X11" s="48"/>
      <c r="Y11" s="48"/>
    </row>
    <row r="12" spans="3:25" x14ac:dyDescent="0.3">
      <c r="D12" s="26" t="s">
        <v>32</v>
      </c>
      <c r="E12" s="17" t="s">
        <v>35</v>
      </c>
      <c r="F12" s="17">
        <v>0</v>
      </c>
      <c r="G12" s="17">
        <v>0</v>
      </c>
      <c r="H12" s="17">
        <v>0</v>
      </c>
      <c r="I12" s="17">
        <v>0</v>
      </c>
      <c r="J12" s="17">
        <v>1</v>
      </c>
      <c r="K12" s="17">
        <v>1</v>
      </c>
      <c r="L12" s="17">
        <v>1</v>
      </c>
      <c r="M12" s="17">
        <v>0</v>
      </c>
      <c r="N12" s="17">
        <v>0</v>
      </c>
      <c r="O12" s="17">
        <v>0</v>
      </c>
      <c r="P12" s="27">
        <f>SUM(F12:O12)</f>
        <v>3</v>
      </c>
      <c r="R12" s="26">
        <v>3</v>
      </c>
      <c r="S12" s="27">
        <v>4</v>
      </c>
      <c r="T12" s="48"/>
      <c r="U12" s="48"/>
      <c r="V12" s="48"/>
      <c r="W12" s="48"/>
      <c r="X12" s="48"/>
      <c r="Y12" s="48"/>
    </row>
    <row r="13" spans="3:25" x14ac:dyDescent="0.3">
      <c r="D13" s="26" t="s">
        <v>33</v>
      </c>
      <c r="E13" s="17" t="s">
        <v>35</v>
      </c>
      <c r="F13" s="17">
        <v>1</v>
      </c>
      <c r="G13" s="17">
        <v>1</v>
      </c>
      <c r="H13" s="17">
        <v>1</v>
      </c>
      <c r="I13" s="17">
        <v>1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27">
        <f>SUM(F13:O13)</f>
        <v>4</v>
      </c>
      <c r="R13" s="26">
        <v>3</v>
      </c>
      <c r="S13" s="27">
        <v>4</v>
      </c>
      <c r="T13" s="48"/>
      <c r="U13" s="48"/>
      <c r="V13" s="48"/>
      <c r="W13" s="48"/>
      <c r="X13" s="48"/>
      <c r="Y13" s="48"/>
    </row>
    <row r="14" spans="3:25" x14ac:dyDescent="0.3">
      <c r="D14" s="63"/>
      <c r="E14" s="64"/>
      <c r="F14" s="64">
        <f>F12+F13</f>
        <v>1</v>
      </c>
      <c r="G14" s="64">
        <f t="shared" ref="G14:O14" si="2">G12+G13</f>
        <v>1</v>
      </c>
      <c r="H14" s="64">
        <f t="shared" si="2"/>
        <v>1</v>
      </c>
      <c r="I14" s="64">
        <f t="shared" si="2"/>
        <v>1</v>
      </c>
      <c r="J14" s="64">
        <f t="shared" si="2"/>
        <v>1</v>
      </c>
      <c r="K14" s="64">
        <f t="shared" si="2"/>
        <v>1</v>
      </c>
      <c r="L14" s="64">
        <f t="shared" si="2"/>
        <v>1</v>
      </c>
      <c r="M14" s="64">
        <f t="shared" si="2"/>
        <v>0</v>
      </c>
      <c r="N14" s="64">
        <f t="shared" si="2"/>
        <v>0</v>
      </c>
      <c r="O14" s="64">
        <f t="shared" si="2"/>
        <v>0</v>
      </c>
      <c r="P14" s="65"/>
      <c r="R14" s="63"/>
      <c r="S14" s="65"/>
      <c r="T14" s="48"/>
      <c r="U14" s="48"/>
      <c r="V14" s="48"/>
      <c r="W14" s="48"/>
      <c r="X14" s="48"/>
      <c r="Y14" s="48"/>
    </row>
    <row r="15" spans="3:25" x14ac:dyDescent="0.3"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48"/>
    </row>
    <row r="16" spans="3:25" x14ac:dyDescent="0.3">
      <c r="C16" s="100"/>
      <c r="D16" s="55" t="s">
        <v>52</v>
      </c>
      <c r="E16" s="101" t="s">
        <v>42</v>
      </c>
      <c r="F16" s="101"/>
      <c r="G16" s="56">
        <f>G6-F6</f>
        <v>0</v>
      </c>
      <c r="H16" s="56">
        <f t="shared" ref="H16:O16" si="3">H6-G6</f>
        <v>0</v>
      </c>
      <c r="I16" s="56">
        <f t="shared" si="3"/>
        <v>0</v>
      </c>
      <c r="J16" s="56">
        <f t="shared" si="3"/>
        <v>0</v>
      </c>
      <c r="K16" s="56">
        <f t="shared" si="3"/>
        <v>0</v>
      </c>
      <c r="L16" s="56">
        <f t="shared" si="3"/>
        <v>0</v>
      </c>
      <c r="M16" s="56">
        <f t="shared" si="3"/>
        <v>1</v>
      </c>
      <c r="N16" s="56">
        <f t="shared" si="3"/>
        <v>0</v>
      </c>
      <c r="O16" s="56">
        <f t="shared" si="3"/>
        <v>0</v>
      </c>
      <c r="P16" s="57" t="s">
        <v>45</v>
      </c>
      <c r="R16" s="95" t="s">
        <v>54</v>
      </c>
      <c r="S16" s="96"/>
      <c r="T16" s="61"/>
    </row>
    <row r="17" spans="3:20" x14ac:dyDescent="0.3">
      <c r="C17" s="100"/>
      <c r="D17" s="26" t="s">
        <v>32</v>
      </c>
      <c r="E17" s="17" t="s">
        <v>31</v>
      </c>
      <c r="F17" s="17">
        <v>0</v>
      </c>
      <c r="G17" s="17">
        <v>0</v>
      </c>
      <c r="H17" s="17">
        <v>0</v>
      </c>
      <c r="I17" s="17">
        <v>0</v>
      </c>
      <c r="J17" s="17">
        <v>0</v>
      </c>
      <c r="K17" s="17">
        <v>0</v>
      </c>
      <c r="L17" s="17">
        <v>0</v>
      </c>
      <c r="M17" s="17">
        <v>1</v>
      </c>
      <c r="N17" s="17">
        <v>0</v>
      </c>
      <c r="O17" s="17">
        <v>0</v>
      </c>
      <c r="P17" s="27">
        <f>SUM(F17:O17)</f>
        <v>1</v>
      </c>
      <c r="R17" s="97">
        <f>SUMPRODUCT(F6:O6,F29:O29)+SUMPRODUCT(F7:O7,F29:O29)+SUMPRODUCT(F9:O9,F30:O30)+SUMPRODUCT(F10:O10,F30:O30)+SUMPRODUCT(F12:O12,F31:O31)+SUMPRODUCT(F13:O13,F31:O31)</f>
        <v>1</v>
      </c>
      <c r="S17" s="98"/>
      <c r="T17" s="47"/>
    </row>
    <row r="18" spans="3:20" x14ac:dyDescent="0.3">
      <c r="D18" s="60"/>
      <c r="E18" s="61"/>
      <c r="F18" s="61"/>
      <c r="G18" s="61">
        <f>G7-F7</f>
        <v>0</v>
      </c>
      <c r="H18" s="61">
        <f t="shared" ref="H18:O18" si="4">H7-G7</f>
        <v>0</v>
      </c>
      <c r="I18" s="61">
        <f t="shared" si="4"/>
        <v>0</v>
      </c>
      <c r="J18" s="61">
        <f t="shared" si="4"/>
        <v>1</v>
      </c>
      <c r="K18" s="61">
        <f t="shared" si="4"/>
        <v>0</v>
      </c>
      <c r="L18" s="61">
        <f t="shared" si="4"/>
        <v>0</v>
      </c>
      <c r="M18" s="61">
        <f t="shared" si="4"/>
        <v>-1</v>
      </c>
      <c r="N18" s="61">
        <f t="shared" si="4"/>
        <v>0</v>
      </c>
      <c r="O18" s="61">
        <f t="shared" si="4"/>
        <v>0</v>
      </c>
      <c r="P18" s="62"/>
    </row>
    <row r="19" spans="3:20" x14ac:dyDescent="0.3">
      <c r="D19" s="26" t="s">
        <v>33</v>
      </c>
      <c r="E19" s="17" t="s">
        <v>31</v>
      </c>
      <c r="F19" s="17">
        <v>0</v>
      </c>
      <c r="G19" s="17">
        <v>0</v>
      </c>
      <c r="H19" s="17">
        <v>0</v>
      </c>
      <c r="I19" s="17">
        <v>0</v>
      </c>
      <c r="J19" s="17">
        <v>1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27">
        <f>SUM(F19:O19)</f>
        <v>1</v>
      </c>
    </row>
    <row r="20" spans="3:20" x14ac:dyDescent="0.3">
      <c r="D20" s="60"/>
      <c r="E20" s="61"/>
      <c r="F20" s="61"/>
      <c r="G20" s="61">
        <f t="shared" ref="G20:O20" si="5">G9-F9</f>
        <v>0</v>
      </c>
      <c r="H20" s="61">
        <f t="shared" si="5"/>
        <v>0</v>
      </c>
      <c r="I20" s="61">
        <f t="shared" si="5"/>
        <v>0</v>
      </c>
      <c r="J20" s="61">
        <f t="shared" si="5"/>
        <v>-1</v>
      </c>
      <c r="K20" s="61">
        <f t="shared" si="5"/>
        <v>0</v>
      </c>
      <c r="L20" s="61">
        <f t="shared" si="5"/>
        <v>0</v>
      </c>
      <c r="M20" s="61">
        <f t="shared" si="5"/>
        <v>0</v>
      </c>
      <c r="N20" s="61">
        <f t="shared" si="5"/>
        <v>0</v>
      </c>
      <c r="O20" s="61">
        <f t="shared" si="5"/>
        <v>0</v>
      </c>
      <c r="P20" s="62"/>
    </row>
    <row r="21" spans="3:20" x14ac:dyDescent="0.3">
      <c r="D21" s="26" t="s">
        <v>32</v>
      </c>
      <c r="E21" s="17" t="s">
        <v>34</v>
      </c>
      <c r="F21" s="17">
        <v>1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27">
        <f>SUM(F21:O21)</f>
        <v>1</v>
      </c>
    </row>
    <row r="22" spans="3:20" x14ac:dyDescent="0.3">
      <c r="D22" s="60"/>
      <c r="E22" s="61"/>
      <c r="F22" s="61"/>
      <c r="G22" s="61">
        <f>G10-F10</f>
        <v>0</v>
      </c>
      <c r="H22" s="61">
        <f t="shared" ref="H22:O22" si="6">H10-G10</f>
        <v>0</v>
      </c>
      <c r="I22" s="61">
        <f t="shared" si="6"/>
        <v>0</v>
      </c>
      <c r="J22" s="61">
        <f t="shared" si="6"/>
        <v>0</v>
      </c>
      <c r="K22" s="61">
        <f t="shared" si="6"/>
        <v>0</v>
      </c>
      <c r="L22" s="61">
        <f t="shared" si="6"/>
        <v>0</v>
      </c>
      <c r="M22" s="61">
        <f t="shared" si="6"/>
        <v>1</v>
      </c>
      <c r="N22" s="61">
        <f t="shared" si="6"/>
        <v>0</v>
      </c>
      <c r="O22" s="61">
        <f t="shared" si="6"/>
        <v>0</v>
      </c>
      <c r="P22" s="62"/>
    </row>
    <row r="23" spans="3:20" x14ac:dyDescent="0.3">
      <c r="D23" s="26" t="s">
        <v>33</v>
      </c>
      <c r="E23" s="17" t="s">
        <v>34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1</v>
      </c>
      <c r="N23" s="17">
        <v>0</v>
      </c>
      <c r="O23" s="17">
        <v>0</v>
      </c>
      <c r="P23" s="27">
        <f>SUM(F23:O23)</f>
        <v>1</v>
      </c>
    </row>
    <row r="24" spans="3:20" x14ac:dyDescent="0.3">
      <c r="D24" s="60"/>
      <c r="E24" s="61"/>
      <c r="F24" s="61"/>
      <c r="G24" s="61">
        <f>G12-F12</f>
        <v>0</v>
      </c>
      <c r="H24" s="61">
        <f t="shared" ref="H24:O24" si="7">H12-G12</f>
        <v>0</v>
      </c>
      <c r="I24" s="61">
        <f t="shared" si="7"/>
        <v>0</v>
      </c>
      <c r="J24" s="61">
        <f t="shared" si="7"/>
        <v>1</v>
      </c>
      <c r="K24" s="61">
        <f t="shared" si="7"/>
        <v>0</v>
      </c>
      <c r="L24" s="61">
        <f t="shared" si="7"/>
        <v>0</v>
      </c>
      <c r="M24" s="61">
        <f t="shared" si="7"/>
        <v>-1</v>
      </c>
      <c r="N24" s="61">
        <f t="shared" si="7"/>
        <v>0</v>
      </c>
      <c r="O24" s="61">
        <f t="shared" si="7"/>
        <v>0</v>
      </c>
      <c r="P24" s="62"/>
    </row>
    <row r="25" spans="3:20" x14ac:dyDescent="0.3">
      <c r="D25" s="26" t="s">
        <v>32</v>
      </c>
      <c r="E25" s="17" t="s">
        <v>35</v>
      </c>
      <c r="F25" s="17">
        <v>0</v>
      </c>
      <c r="G25" s="17">
        <v>0</v>
      </c>
      <c r="H25" s="17">
        <v>0</v>
      </c>
      <c r="I25" s="17">
        <v>0</v>
      </c>
      <c r="J25" s="17">
        <v>1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27">
        <f>SUM(F25:O25)</f>
        <v>1</v>
      </c>
    </row>
    <row r="26" spans="3:20" x14ac:dyDescent="0.3">
      <c r="D26" s="60"/>
      <c r="E26" s="61"/>
      <c r="F26" s="61"/>
      <c r="G26" s="61">
        <f>G13-F13</f>
        <v>0</v>
      </c>
      <c r="H26" s="61">
        <f t="shared" ref="H26:O26" si="8">H13-G13</f>
        <v>0</v>
      </c>
      <c r="I26" s="61">
        <f t="shared" si="8"/>
        <v>0</v>
      </c>
      <c r="J26" s="61">
        <f t="shared" si="8"/>
        <v>-1</v>
      </c>
      <c r="K26" s="61">
        <f t="shared" si="8"/>
        <v>0</v>
      </c>
      <c r="L26" s="61">
        <f t="shared" si="8"/>
        <v>0</v>
      </c>
      <c r="M26" s="61">
        <f t="shared" si="8"/>
        <v>0</v>
      </c>
      <c r="N26" s="61">
        <f t="shared" si="8"/>
        <v>0</v>
      </c>
      <c r="O26" s="61">
        <f t="shared" si="8"/>
        <v>0</v>
      </c>
      <c r="P26" s="62"/>
    </row>
    <row r="27" spans="3:20" x14ac:dyDescent="0.3">
      <c r="D27" s="36" t="s">
        <v>33</v>
      </c>
      <c r="E27" s="37" t="s">
        <v>35</v>
      </c>
      <c r="F27" s="37">
        <v>1</v>
      </c>
      <c r="G27" s="37">
        <v>0</v>
      </c>
      <c r="H27" s="37">
        <v>0</v>
      </c>
      <c r="I27" s="37">
        <v>0</v>
      </c>
      <c r="J27" s="37">
        <v>0</v>
      </c>
      <c r="K27" s="37">
        <v>0</v>
      </c>
      <c r="L27" s="37">
        <v>0</v>
      </c>
      <c r="M27" s="37">
        <v>0</v>
      </c>
      <c r="N27" s="37">
        <v>0</v>
      </c>
      <c r="O27" s="37">
        <v>0</v>
      </c>
      <c r="P27" s="40">
        <f>SUM(F27:O27)</f>
        <v>1</v>
      </c>
    </row>
    <row r="28" spans="3:20" ht="6" customHeight="1" x14ac:dyDescent="0.3"/>
    <row r="29" spans="3:20" x14ac:dyDescent="0.3">
      <c r="C29" s="48" t="s">
        <v>50</v>
      </c>
      <c r="D29" s="66"/>
      <c r="E29" s="67" t="s">
        <v>31</v>
      </c>
      <c r="F29" s="67"/>
      <c r="G29" s="67">
        <v>1</v>
      </c>
      <c r="H29" s="67">
        <v>1</v>
      </c>
      <c r="I29" s="67"/>
      <c r="J29" s="67"/>
      <c r="K29" s="67"/>
      <c r="L29" s="67"/>
      <c r="M29" s="67"/>
      <c r="N29" s="67"/>
      <c r="O29" s="67"/>
      <c r="P29" s="73"/>
    </row>
    <row r="30" spans="3:20" x14ac:dyDescent="0.3">
      <c r="D30" s="60"/>
      <c r="E30" s="47" t="s">
        <v>20</v>
      </c>
      <c r="F30" s="61"/>
      <c r="G30" s="61"/>
      <c r="H30" s="61"/>
      <c r="I30" s="61"/>
      <c r="J30" s="61"/>
      <c r="K30" s="61">
        <v>1</v>
      </c>
      <c r="L30" s="61"/>
      <c r="M30" s="61"/>
      <c r="N30" s="61"/>
      <c r="O30" s="61"/>
      <c r="P30" s="68"/>
    </row>
    <row r="31" spans="3:20" x14ac:dyDescent="0.3">
      <c r="D31" s="36"/>
      <c r="E31" s="37" t="s">
        <v>9</v>
      </c>
      <c r="F31" s="37"/>
      <c r="G31" s="37"/>
      <c r="H31" s="37">
        <v>1</v>
      </c>
      <c r="I31" s="37"/>
      <c r="J31" s="37"/>
      <c r="K31" s="37"/>
      <c r="L31" s="37"/>
      <c r="M31" s="37"/>
      <c r="N31" s="37"/>
      <c r="O31" s="37">
        <v>1</v>
      </c>
      <c r="P31" s="74"/>
    </row>
    <row r="32" spans="3:20" ht="6" customHeight="1" x14ac:dyDescent="0.3"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</row>
    <row r="33" spans="3:16" x14ac:dyDescent="0.3">
      <c r="C33" s="89" t="s">
        <v>47</v>
      </c>
      <c r="D33" s="66" t="s">
        <v>32</v>
      </c>
      <c r="E33" s="67"/>
      <c r="F33" s="67">
        <f t="shared" ref="F33:O33" si="9">SUM(F6,F9,F12)</f>
        <v>1</v>
      </c>
      <c r="G33" s="67">
        <f t="shared" si="9"/>
        <v>1</v>
      </c>
      <c r="H33" s="67">
        <f t="shared" si="9"/>
        <v>1</v>
      </c>
      <c r="I33" s="67">
        <f t="shared" si="9"/>
        <v>1</v>
      </c>
      <c r="J33" s="67">
        <f t="shared" si="9"/>
        <v>1</v>
      </c>
      <c r="K33" s="67">
        <f t="shared" si="9"/>
        <v>1</v>
      </c>
      <c r="L33" s="67">
        <f t="shared" si="9"/>
        <v>1</v>
      </c>
      <c r="M33" s="67">
        <f t="shared" si="9"/>
        <v>1</v>
      </c>
      <c r="N33" s="67">
        <f t="shared" si="9"/>
        <v>1</v>
      </c>
      <c r="O33" s="67">
        <f t="shared" si="9"/>
        <v>1</v>
      </c>
      <c r="P33" s="73"/>
    </row>
    <row r="34" spans="3:16" x14ac:dyDescent="0.3">
      <c r="C34" s="89"/>
      <c r="D34" s="60"/>
      <c r="E34" s="61"/>
      <c r="F34" s="61">
        <v>1</v>
      </c>
      <c r="G34" s="61">
        <v>1</v>
      </c>
      <c r="H34" s="61">
        <v>1</v>
      </c>
      <c r="I34" s="61">
        <v>1</v>
      </c>
      <c r="J34" s="61">
        <v>1</v>
      </c>
      <c r="K34" s="61">
        <v>1</v>
      </c>
      <c r="L34" s="61">
        <v>1</v>
      </c>
      <c r="M34" s="61">
        <v>1</v>
      </c>
      <c r="N34" s="61">
        <v>1</v>
      </c>
      <c r="O34" s="61">
        <v>1</v>
      </c>
      <c r="P34" s="68"/>
    </row>
    <row r="35" spans="3:16" x14ac:dyDescent="0.3">
      <c r="D35" s="26" t="s">
        <v>33</v>
      </c>
      <c r="E35" s="17"/>
      <c r="F35" s="17">
        <f t="shared" ref="F35:O35" si="10">SUM(F7,F10,F13)</f>
        <v>1</v>
      </c>
      <c r="G35" s="17">
        <f t="shared" si="10"/>
        <v>1</v>
      </c>
      <c r="H35" s="17">
        <f t="shared" si="10"/>
        <v>1</v>
      </c>
      <c r="I35" s="17">
        <f t="shared" si="10"/>
        <v>1</v>
      </c>
      <c r="J35" s="17">
        <f t="shared" si="10"/>
        <v>1</v>
      </c>
      <c r="K35" s="17">
        <f t="shared" si="10"/>
        <v>1</v>
      </c>
      <c r="L35" s="17">
        <f t="shared" si="10"/>
        <v>1</v>
      </c>
      <c r="M35" s="17">
        <f t="shared" si="10"/>
        <v>1</v>
      </c>
      <c r="N35" s="17">
        <f t="shared" si="10"/>
        <v>1</v>
      </c>
      <c r="O35" s="17">
        <f t="shared" si="10"/>
        <v>1</v>
      </c>
      <c r="P35" s="75"/>
    </row>
    <row r="36" spans="3:16" x14ac:dyDescent="0.3">
      <c r="D36" s="63"/>
      <c r="E36" s="64"/>
      <c r="F36" s="64">
        <v>1</v>
      </c>
      <c r="G36" s="64">
        <v>1</v>
      </c>
      <c r="H36" s="64">
        <v>1</v>
      </c>
      <c r="I36" s="64">
        <v>1</v>
      </c>
      <c r="J36" s="64">
        <v>1</v>
      </c>
      <c r="K36" s="64">
        <v>1</v>
      </c>
      <c r="L36" s="64">
        <v>1</v>
      </c>
      <c r="M36" s="64">
        <v>1</v>
      </c>
      <c r="N36" s="64">
        <v>1</v>
      </c>
      <c r="O36" s="64">
        <v>1</v>
      </c>
      <c r="P36" s="69"/>
    </row>
    <row r="37" spans="3:16" ht="8.5" customHeight="1" x14ac:dyDescent="0.3"/>
    <row r="38" spans="3:16" x14ac:dyDescent="0.3">
      <c r="C38" s="94" t="s">
        <v>48</v>
      </c>
      <c r="D38" s="76"/>
      <c r="E38" s="71"/>
      <c r="F38" s="71">
        <v>1</v>
      </c>
      <c r="G38" s="71">
        <v>2</v>
      </c>
      <c r="H38" s="71">
        <v>3</v>
      </c>
      <c r="I38" s="71">
        <v>4</v>
      </c>
      <c r="J38" s="71">
        <v>5</v>
      </c>
      <c r="K38" s="71">
        <v>6</v>
      </c>
      <c r="L38" s="71">
        <v>7</v>
      </c>
      <c r="M38" s="71">
        <v>8</v>
      </c>
      <c r="N38" s="71">
        <v>9</v>
      </c>
      <c r="O38" s="71">
        <v>10</v>
      </c>
      <c r="P38" s="76"/>
    </row>
    <row r="39" spans="3:16" x14ac:dyDescent="0.3">
      <c r="C39" s="94"/>
      <c r="D39" s="76"/>
      <c r="E39" s="71" t="s">
        <v>43</v>
      </c>
      <c r="F39" s="72" t="str">
        <f t="shared" ref="F39:O39" si="11">CHOOSE(IFERROR(MATCH(1,F6:F7,0),3), "R1", "R2", "")</f>
        <v/>
      </c>
      <c r="G39" s="72" t="str">
        <f t="shared" si="11"/>
        <v/>
      </c>
      <c r="H39" s="72" t="str">
        <f t="shared" si="11"/>
        <v/>
      </c>
      <c r="I39" s="72" t="str">
        <f t="shared" si="11"/>
        <v/>
      </c>
      <c r="J39" s="72" t="str">
        <f t="shared" si="11"/>
        <v>R2</v>
      </c>
      <c r="K39" s="72" t="str">
        <f t="shared" si="11"/>
        <v>R2</v>
      </c>
      <c r="L39" s="72" t="str">
        <f t="shared" si="11"/>
        <v>R2</v>
      </c>
      <c r="M39" s="72" t="str">
        <f t="shared" si="11"/>
        <v>R1</v>
      </c>
      <c r="N39" s="72" t="str">
        <f t="shared" si="11"/>
        <v>R1</v>
      </c>
      <c r="O39" s="72" t="str">
        <f t="shared" si="11"/>
        <v>R1</v>
      </c>
      <c r="P39" s="70"/>
    </row>
    <row r="40" spans="3:16" ht="14" customHeight="1" x14ac:dyDescent="0.3">
      <c r="D40" s="76"/>
      <c r="E40" s="71" t="s">
        <v>20</v>
      </c>
      <c r="F40" s="72" t="str">
        <f t="shared" ref="F40:O40" si="12">CHOOSE(IFERROR(MATCH(1,F9:F10,0),3), "R1", "R2", "")</f>
        <v>R1</v>
      </c>
      <c r="G40" s="72" t="str">
        <f t="shared" si="12"/>
        <v>R1</v>
      </c>
      <c r="H40" s="72" t="str">
        <f t="shared" si="12"/>
        <v>R1</v>
      </c>
      <c r="I40" s="72" t="str">
        <f t="shared" si="12"/>
        <v>R1</v>
      </c>
      <c r="J40" s="72" t="str">
        <f t="shared" si="12"/>
        <v/>
      </c>
      <c r="K40" s="72" t="str">
        <f t="shared" si="12"/>
        <v/>
      </c>
      <c r="L40" s="72" t="str">
        <f t="shared" si="12"/>
        <v/>
      </c>
      <c r="M40" s="72" t="str">
        <f t="shared" si="12"/>
        <v>R2</v>
      </c>
      <c r="N40" s="72" t="str">
        <f t="shared" si="12"/>
        <v>R2</v>
      </c>
      <c r="O40" s="72" t="str">
        <f t="shared" si="12"/>
        <v>R2</v>
      </c>
      <c r="P40" s="70"/>
    </row>
    <row r="41" spans="3:16" x14ac:dyDescent="0.3">
      <c r="D41" s="76"/>
      <c r="E41" s="71" t="s">
        <v>44</v>
      </c>
      <c r="F41" s="72" t="str">
        <f t="shared" ref="F41:O41" si="13">CHOOSE(IFERROR(MATCH(1,F12:F13,0),3), "R1", "R2", "")</f>
        <v>R2</v>
      </c>
      <c r="G41" s="72" t="str">
        <f t="shared" si="13"/>
        <v>R2</v>
      </c>
      <c r="H41" s="72" t="str">
        <f t="shared" si="13"/>
        <v>R2</v>
      </c>
      <c r="I41" s="72" t="str">
        <f t="shared" si="13"/>
        <v>R2</v>
      </c>
      <c r="J41" s="72" t="str">
        <f t="shared" si="13"/>
        <v>R1</v>
      </c>
      <c r="K41" s="72" t="str">
        <f t="shared" si="13"/>
        <v>R1</v>
      </c>
      <c r="L41" s="72" t="str">
        <f t="shared" si="13"/>
        <v>R1</v>
      </c>
      <c r="M41" s="72" t="str">
        <f t="shared" si="13"/>
        <v/>
      </c>
      <c r="N41" s="72" t="str">
        <f t="shared" si="13"/>
        <v/>
      </c>
      <c r="O41" s="72" t="str">
        <f t="shared" si="13"/>
        <v/>
      </c>
      <c r="P41" s="70"/>
    </row>
  </sheetData>
  <mergeCells count="7">
    <mergeCell ref="C38:C39"/>
    <mergeCell ref="R16:S16"/>
    <mergeCell ref="R17:S17"/>
    <mergeCell ref="C5:C6"/>
    <mergeCell ref="C16:C17"/>
    <mergeCell ref="C33:C34"/>
    <mergeCell ref="E16:F16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Nurser Rostering</vt:lpstr>
      <vt:lpstr>Rotation Assignment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2020-04-23T06:20:19Z</dcterms:modified>
</cp:coreProperties>
</file>